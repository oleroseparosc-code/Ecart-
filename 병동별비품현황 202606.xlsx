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조제실 총괄\비품 조제실 관리\병동비품 및 처치약, E-cart\비품현황\2026년\"/>
    </mc:Choice>
  </mc:AlternateContent>
  <bookViews>
    <workbookView xWindow="4125" yWindow="420" windowWidth="8820" windowHeight="10455" tabRatio="865" activeTab="21"/>
  </bookViews>
  <sheets>
    <sheet name="비품현황표(전체)" sheetId="54" r:id="rId1"/>
    <sheet name="Sheet1" sheetId="105" state="hidden" r:id="rId2"/>
    <sheet name="Sheet4" sheetId="104" state="hidden" r:id="rId3"/>
    <sheet name="Sheet3" sheetId="103" state="hidden" r:id="rId4"/>
    <sheet name="42" sheetId="62" r:id="rId5"/>
    <sheet name="61" sheetId="63" r:id="rId6"/>
    <sheet name="62" sheetId="64" r:id="rId7"/>
    <sheet name="71" sheetId="65" r:id="rId8"/>
    <sheet name="72" sheetId="66" r:id="rId9"/>
    <sheet name="81" sheetId="68" r:id="rId10"/>
    <sheet name="82" sheetId="67" r:id="rId11"/>
    <sheet name="Sheet5" sheetId="106" state="hidden" r:id="rId12"/>
    <sheet name="91" sheetId="69" r:id="rId13"/>
    <sheet name="92" sheetId="70" r:id="rId14"/>
    <sheet name="101" sheetId="71" r:id="rId15"/>
    <sheet name="102" sheetId="72" r:id="rId16"/>
    <sheet name="111" sheetId="73" r:id="rId17"/>
    <sheet name="112" sheetId="97" r:id="rId18"/>
    <sheet name="121" sheetId="74" r:id="rId19"/>
    <sheet name="SICU" sheetId="75" r:id="rId20"/>
    <sheet name="MICU" sheetId="76" r:id="rId21"/>
    <sheet name="AN" sheetId="77" r:id="rId22"/>
    <sheet name="OR" sheetId="79" r:id="rId23"/>
    <sheet name="DRL" sheetId="78" r:id="rId24"/>
    <sheet name="NICU" sheetId="80" r:id="rId25"/>
    <sheet name="AER" sheetId="81" r:id="rId26"/>
    <sheet name="RRT" sheetId="117" r:id="rId27"/>
    <sheet name="HBEF" sheetId="82" r:id="rId28"/>
    <sheet name="ADR" sheetId="83" r:id="rId29"/>
    <sheet name="DSR" sheetId="84" r:id="rId30"/>
    <sheet name="HEART" sheetId="86" r:id="rId31"/>
    <sheet name="PED" sheetId="85" r:id="rId32"/>
    <sheet name="INJ" sheetId="87" r:id="rId33"/>
    <sheet name="DRO" sheetId="88" r:id="rId34"/>
    <sheet name="OT" sheetId="90" r:id="rId35"/>
    <sheet name="RH" sheetId="91" r:id="rId36"/>
    <sheet name="OG" sheetId="92" r:id="rId37"/>
    <sheet name="난임" sheetId="93" r:id="rId38"/>
    <sheet name="DM" sheetId="96" r:id="rId39"/>
    <sheet name="OL" sheetId="98" r:id="rId40"/>
    <sheet name="OS" sheetId="101" r:id="rId41"/>
    <sheet name="UR" sheetId="102" r:id="rId42"/>
    <sheet name="GICLA" sheetId="100" r:id="rId43"/>
    <sheet name="NR" sheetId="109" r:id="rId44"/>
    <sheet name="Sheet2" sheetId="118" r:id="rId45"/>
  </sheets>
  <definedNames>
    <definedName name="_xlnm._FilterDatabase" localSheetId="4" hidden="1">'42'!$B$1:$H$1</definedName>
    <definedName name="_xlnm._FilterDatabase" localSheetId="10" hidden="1">'82'!$A$1:$H$14</definedName>
    <definedName name="_xlnm._FilterDatabase" localSheetId="25" hidden="1">AER!$A$1:$A$35</definedName>
    <definedName name="_xlnm._FilterDatabase" localSheetId="23" hidden="1">DRL!$B$1:$H$1</definedName>
    <definedName name="_xlnm._FilterDatabase" localSheetId="32" hidden="1">INJ!$A$1:$H$84</definedName>
    <definedName name="_xlnm._FilterDatabase" localSheetId="31" hidden="1">PED!$B$1:$H$1</definedName>
    <definedName name="_xlnm._FilterDatabase" localSheetId="0" hidden="1">'비품현황표(전체)'!$A$1:$AT$274</definedName>
    <definedName name="_xlnm.Criteria" localSheetId="0">'비품현황표(전체)'!$AE:$AE</definedName>
    <definedName name="f" localSheetId="43">#REF!</definedName>
    <definedName name="f" localSheetId="26">#REF!</definedName>
    <definedName name="f">#REF!</definedName>
    <definedName name="_xlnm.Print_Titles" localSheetId="0">'비품현황표(전체)'!$1:$1</definedName>
  </definedNames>
  <calcPr calcId="152511"/>
</workbook>
</file>

<file path=xl/calcChain.xml><?xml version="1.0" encoding="utf-8"?>
<calcChain xmlns="http://schemas.openxmlformats.org/spreadsheetml/2006/main">
  <c r="AT239" i="54" l="1"/>
  <c r="AT238" i="54"/>
  <c r="AT271" i="54" l="1"/>
  <c r="AT109" i="54"/>
  <c r="AT40" i="54" l="1"/>
  <c r="AT41" i="54"/>
  <c r="AT42" i="54"/>
  <c r="AT43" i="54"/>
  <c r="AT251" i="54" l="1"/>
  <c r="AT252" i="54"/>
  <c r="AT103" i="54" l="1"/>
  <c r="AT104" i="54"/>
  <c r="AT105" i="54"/>
  <c r="AT106" i="54"/>
  <c r="AT107" i="54"/>
  <c r="AT108" i="54"/>
  <c r="AT110" i="54"/>
  <c r="AT111" i="54"/>
  <c r="AT112" i="54"/>
  <c r="AT113" i="54"/>
  <c r="AT114" i="54"/>
  <c r="AT115" i="54"/>
  <c r="AT116" i="54"/>
  <c r="AT117" i="54"/>
  <c r="AT118" i="54"/>
  <c r="AT119" i="54"/>
  <c r="AT120" i="54"/>
  <c r="AT121" i="54"/>
  <c r="AT122" i="54"/>
  <c r="AT123" i="54"/>
  <c r="AT124" i="54"/>
  <c r="AT125" i="54"/>
  <c r="AT126" i="54"/>
  <c r="AT127" i="54"/>
  <c r="AT128" i="54"/>
  <c r="AT129" i="54"/>
  <c r="AT130" i="54"/>
  <c r="AT131" i="54"/>
  <c r="AT132" i="54"/>
  <c r="AT133" i="54"/>
  <c r="AT134" i="54"/>
  <c r="AT135" i="54"/>
  <c r="AT136" i="54"/>
  <c r="AT137" i="54"/>
  <c r="AT138" i="54"/>
  <c r="AT139" i="54"/>
  <c r="AT140" i="54"/>
  <c r="AT141" i="54"/>
  <c r="AT142" i="54"/>
  <c r="AT143" i="54"/>
  <c r="AT144" i="54"/>
  <c r="AT145" i="54"/>
  <c r="AT146" i="54"/>
  <c r="AT147" i="54"/>
  <c r="AT148" i="54"/>
  <c r="AT149" i="54"/>
  <c r="AT150" i="54"/>
  <c r="AT151" i="54"/>
  <c r="AT152" i="54"/>
  <c r="AT153" i="54"/>
  <c r="AT154" i="54"/>
  <c r="AT155" i="54"/>
  <c r="AT156" i="54"/>
  <c r="AT157" i="54"/>
  <c r="AT158" i="54"/>
  <c r="AT159" i="54"/>
  <c r="AT160" i="54"/>
  <c r="AT161" i="54"/>
  <c r="AT162" i="54"/>
  <c r="AT163" i="54"/>
  <c r="AT164" i="54"/>
  <c r="AT165" i="54"/>
  <c r="AT166" i="54"/>
  <c r="AT167" i="54"/>
  <c r="AT168" i="54"/>
  <c r="AT169" i="54"/>
  <c r="AT170" i="54"/>
  <c r="AT171" i="54"/>
  <c r="AT172" i="54"/>
  <c r="AT173" i="54"/>
  <c r="AT174" i="54"/>
  <c r="AT175" i="54"/>
  <c r="AT176" i="54"/>
  <c r="AT177" i="54"/>
  <c r="AT178" i="54"/>
  <c r="AT179" i="54"/>
  <c r="AT180" i="54"/>
  <c r="AT181" i="54"/>
  <c r="AT182" i="54"/>
  <c r="AT183" i="54"/>
  <c r="AT184" i="54"/>
  <c r="AT185" i="54"/>
  <c r="AT186" i="54"/>
  <c r="AT187" i="54"/>
  <c r="AT188" i="54"/>
  <c r="AT189" i="54"/>
  <c r="AT190" i="54"/>
  <c r="AT192" i="54"/>
  <c r="AT193" i="54"/>
  <c r="AT194" i="54"/>
  <c r="AT195" i="54"/>
  <c r="AT196" i="54"/>
  <c r="AT197" i="54"/>
  <c r="AT198" i="54"/>
  <c r="AT199" i="54"/>
  <c r="AT200" i="54"/>
  <c r="AT201" i="54"/>
  <c r="AT202" i="54"/>
  <c r="AT203" i="54"/>
  <c r="AT204" i="54"/>
  <c r="AT205" i="54"/>
  <c r="AT206" i="54"/>
  <c r="AT207" i="54"/>
  <c r="AT208" i="54"/>
  <c r="AT209" i="54"/>
  <c r="AT211" i="54"/>
  <c r="AT212" i="54"/>
  <c r="AT213" i="54"/>
  <c r="AT214" i="54"/>
  <c r="AT215" i="54"/>
  <c r="AT216" i="54"/>
  <c r="AT217" i="54"/>
  <c r="AT218" i="54"/>
  <c r="AT219" i="54"/>
  <c r="AT220" i="54"/>
  <c r="AT221" i="54"/>
  <c r="AT222" i="54"/>
  <c r="AT223" i="54"/>
  <c r="AT224" i="54"/>
  <c r="AT225" i="54"/>
  <c r="AT226" i="54"/>
  <c r="AT227" i="54"/>
  <c r="AT228" i="54"/>
  <c r="AT229" i="54"/>
  <c r="AT230" i="54"/>
  <c r="AT231" i="54"/>
  <c r="AT232" i="54"/>
  <c r="AT233" i="54"/>
  <c r="AT234" i="54"/>
  <c r="AT235" i="54"/>
  <c r="AT236" i="54"/>
  <c r="AT237" i="54"/>
  <c r="AT240" i="54"/>
  <c r="AT241" i="54"/>
  <c r="AT242" i="54"/>
  <c r="AT243" i="54"/>
  <c r="AT244" i="54"/>
  <c r="AT245" i="54"/>
  <c r="AT246" i="54"/>
  <c r="AT247" i="54"/>
  <c r="AT248" i="54"/>
  <c r="AT249" i="54"/>
  <c r="AT250" i="54"/>
  <c r="AT253" i="54"/>
  <c r="AT254" i="54"/>
  <c r="AT255" i="54"/>
  <c r="AT256" i="54"/>
  <c r="AT257" i="54"/>
  <c r="AT258" i="54"/>
  <c r="AT259" i="54"/>
  <c r="AT260" i="54"/>
  <c r="AT261" i="54"/>
  <c r="AT262" i="54"/>
  <c r="AT263" i="54"/>
  <c r="AT264" i="54"/>
  <c r="AT265" i="54"/>
  <c r="AT266" i="54"/>
  <c r="AT267" i="54"/>
  <c r="AT268" i="54"/>
  <c r="AT269" i="54"/>
  <c r="AT270" i="54"/>
  <c r="AT272" i="54"/>
  <c r="AT273" i="54"/>
  <c r="AT93" i="54" l="1"/>
  <c r="G3" i="67" l="1"/>
  <c r="G4" i="67"/>
  <c r="G6" i="67"/>
  <c r="G7" i="67"/>
  <c r="G8" i="67"/>
  <c r="G9" i="67"/>
  <c r="G10" i="67"/>
  <c r="G11" i="67"/>
  <c r="G12" i="67"/>
  <c r="G13" i="67"/>
  <c r="G6" i="77" l="1"/>
  <c r="AT30" i="54" l="1"/>
  <c r="AT4" i="54" l="1"/>
  <c r="AT5" i="54"/>
  <c r="AT6" i="54"/>
  <c r="AB274" i="54" l="1"/>
  <c r="G5" i="67" l="1"/>
  <c r="G13" i="76" l="1"/>
  <c r="G14" i="76"/>
  <c r="G15" i="76"/>
  <c r="G16" i="76"/>
  <c r="G17" i="76"/>
  <c r="G18" i="76"/>
  <c r="G19" i="76"/>
  <c r="AT3" i="54" l="1"/>
  <c r="AT7" i="54"/>
  <c r="AT8" i="54"/>
  <c r="AT9" i="54"/>
  <c r="AT10" i="54"/>
  <c r="AT11" i="54"/>
  <c r="AT13" i="54"/>
  <c r="AT14" i="54"/>
  <c r="AT15" i="54"/>
  <c r="AT16" i="54"/>
  <c r="AT17" i="54"/>
  <c r="AT18" i="54"/>
  <c r="AT19" i="54"/>
  <c r="AT20" i="54"/>
  <c r="AT21" i="54"/>
  <c r="AT22" i="54"/>
  <c r="AT23" i="54"/>
  <c r="AT24" i="54"/>
  <c r="AT25" i="54"/>
  <c r="AT26" i="54"/>
  <c r="AT27" i="54"/>
  <c r="AT28" i="54"/>
  <c r="AT29" i="54"/>
  <c r="AT31" i="54"/>
  <c r="AT32" i="54"/>
  <c r="AT33" i="54"/>
  <c r="AT34" i="54"/>
  <c r="AT35" i="54"/>
  <c r="AT36" i="54"/>
  <c r="AT37" i="54"/>
  <c r="AT38" i="54"/>
  <c r="AT39" i="54"/>
  <c r="AT44" i="54"/>
  <c r="AT45" i="54"/>
  <c r="AT46" i="54"/>
  <c r="AT47" i="54"/>
  <c r="AT48" i="54"/>
  <c r="AT49" i="54"/>
  <c r="AT50" i="54"/>
  <c r="AT51" i="54"/>
  <c r="AT52" i="54"/>
  <c r="AT53" i="54"/>
  <c r="AT54" i="54"/>
  <c r="AT55" i="54"/>
  <c r="AT56" i="54"/>
  <c r="AT57" i="54"/>
  <c r="AT58" i="54"/>
  <c r="AT59" i="54"/>
  <c r="AT60" i="54"/>
  <c r="AT61" i="54"/>
  <c r="AT62" i="54"/>
  <c r="AT63" i="54"/>
  <c r="AT64" i="54"/>
  <c r="AT65" i="54"/>
  <c r="AT66" i="54"/>
  <c r="AT67" i="54"/>
  <c r="AT68" i="54"/>
  <c r="AT69" i="54"/>
  <c r="AT70" i="54"/>
  <c r="AT71" i="54"/>
  <c r="AT72" i="54"/>
  <c r="AT73" i="54"/>
  <c r="AT74" i="54"/>
  <c r="AT75" i="54"/>
  <c r="AT76" i="54"/>
  <c r="AT77" i="54"/>
  <c r="AT78" i="54"/>
  <c r="AT79" i="54"/>
  <c r="AT80" i="54"/>
  <c r="AT81" i="54"/>
  <c r="AT82" i="54"/>
  <c r="AT83" i="54"/>
  <c r="AT84" i="54"/>
  <c r="AT85" i="54"/>
  <c r="AT86" i="54"/>
  <c r="AT87" i="54"/>
  <c r="AT88" i="54"/>
  <c r="AT89" i="54"/>
  <c r="AT90" i="54"/>
  <c r="AT91" i="54"/>
  <c r="AT92" i="54"/>
  <c r="AT94" i="54"/>
  <c r="AT95" i="54"/>
  <c r="AT96" i="54"/>
  <c r="AT97" i="54"/>
  <c r="AT98" i="54"/>
  <c r="AT99" i="54"/>
  <c r="AT100" i="54"/>
  <c r="AT101" i="54"/>
  <c r="AT102" i="54"/>
  <c r="G29" i="81" l="1"/>
  <c r="AR274" i="54" l="1"/>
  <c r="AS274" i="54"/>
  <c r="G3" i="84" l="1"/>
  <c r="G4" i="84"/>
  <c r="G5" i="84"/>
  <c r="G6" i="84"/>
  <c r="AQ274" i="54" l="1"/>
  <c r="AH274" i="54" l="1"/>
  <c r="G3" i="87"/>
  <c r="G6" i="87"/>
  <c r="G7" i="87"/>
  <c r="G8" i="87"/>
  <c r="G9" i="87"/>
  <c r="G10" i="87"/>
  <c r="G11" i="87"/>
  <c r="G12" i="87"/>
  <c r="G14" i="87"/>
  <c r="G15" i="87"/>
  <c r="G17" i="87"/>
  <c r="G20" i="87"/>
  <c r="G21" i="87"/>
  <c r="G22" i="87"/>
  <c r="G23" i="87"/>
  <c r="G24" i="87"/>
  <c r="G25" i="87"/>
  <c r="G27" i="87"/>
  <c r="G28" i="87"/>
  <c r="G29" i="87"/>
  <c r="G31" i="87"/>
  <c r="G32" i="87"/>
  <c r="G33" i="87"/>
  <c r="G35" i="87"/>
  <c r="G36" i="87"/>
  <c r="G37" i="87"/>
  <c r="G40" i="87"/>
  <c r="G41" i="87"/>
  <c r="G42" i="87"/>
  <c r="G43" i="87"/>
  <c r="G44" i="87"/>
  <c r="G45" i="87"/>
  <c r="G46" i="87"/>
  <c r="G48" i="87"/>
  <c r="G49" i="87"/>
  <c r="G50" i="87"/>
  <c r="G51" i="87"/>
  <c r="G52" i="87"/>
  <c r="G53" i="87"/>
  <c r="G54" i="87"/>
  <c r="G55" i="87"/>
  <c r="G56" i="87"/>
  <c r="G59" i="87"/>
  <c r="G60" i="87"/>
  <c r="G61" i="87"/>
  <c r="G62" i="87"/>
  <c r="G63" i="87"/>
  <c r="G65" i="87"/>
  <c r="G68" i="87"/>
  <c r="G69" i="87"/>
  <c r="G71" i="87"/>
  <c r="G73" i="87"/>
  <c r="G74" i="87"/>
  <c r="G75" i="87"/>
  <c r="G18" i="87"/>
  <c r="G77" i="87"/>
  <c r="G78" i="87"/>
  <c r="G79" i="87"/>
  <c r="G80" i="87"/>
  <c r="G81" i="87"/>
  <c r="G83" i="87"/>
  <c r="G84" i="87"/>
  <c r="G54" i="77" l="1"/>
  <c r="F2" i="74" l="1"/>
  <c r="F5" i="73"/>
  <c r="G14" i="69" l="1"/>
  <c r="G8" i="66"/>
  <c r="G10" i="66" l="1"/>
  <c r="G4" i="70" l="1"/>
  <c r="G5" i="70"/>
  <c r="G6" i="70"/>
  <c r="G7" i="70"/>
  <c r="G8" i="70"/>
  <c r="G10" i="70"/>
  <c r="G11" i="70"/>
  <c r="G12" i="70"/>
  <c r="G13" i="70"/>
  <c r="G14" i="70"/>
  <c r="G15" i="70"/>
  <c r="G16" i="70"/>
  <c r="G18" i="70"/>
  <c r="G11" i="64" l="1"/>
  <c r="G11" i="71" l="1"/>
  <c r="G5" i="71"/>
  <c r="G32" i="75" l="1"/>
  <c r="G8" i="65" l="1"/>
  <c r="G10" i="65"/>
  <c r="G11" i="65"/>
  <c r="G14" i="65"/>
  <c r="G15" i="65"/>
  <c r="G6" i="72" l="1"/>
  <c r="G7" i="72"/>
  <c r="G30" i="75" l="1"/>
  <c r="G2" i="64" l="1"/>
  <c r="G12" i="69" l="1"/>
  <c r="G4" i="68" l="1"/>
  <c r="G5" i="68"/>
  <c r="G6" i="68"/>
  <c r="G7" i="68"/>
  <c r="G9" i="68"/>
  <c r="G10" i="68"/>
  <c r="G11" i="68"/>
  <c r="G3" i="68"/>
  <c r="E5" i="101" l="1"/>
  <c r="E4" i="100"/>
  <c r="E3" i="100"/>
  <c r="G3" i="98"/>
  <c r="G2" i="98"/>
  <c r="G3" i="96"/>
  <c r="G2" i="96"/>
  <c r="G2" i="93"/>
  <c r="G2" i="92"/>
  <c r="G2" i="91"/>
  <c r="G3" i="90"/>
  <c r="G4" i="90"/>
  <c r="G5" i="90"/>
  <c r="G2" i="90"/>
  <c r="G3" i="88"/>
  <c r="G4" i="88"/>
  <c r="G5" i="88"/>
  <c r="G6" i="88"/>
  <c r="G2" i="87"/>
  <c r="G3" i="86"/>
  <c r="G4" i="86"/>
  <c r="G5" i="86"/>
  <c r="G6" i="86"/>
  <c r="G7" i="86"/>
  <c r="G8" i="86"/>
  <c r="G9" i="86"/>
  <c r="G10" i="86"/>
  <c r="G11" i="86"/>
  <c r="G12" i="86"/>
  <c r="G13" i="86"/>
  <c r="G2" i="86"/>
  <c r="G3" i="85"/>
  <c r="G5" i="85"/>
  <c r="G6" i="85"/>
  <c r="G8" i="85"/>
  <c r="G9" i="85"/>
  <c r="G10" i="85"/>
  <c r="G12" i="85"/>
  <c r="G13" i="85"/>
  <c r="G14" i="85"/>
  <c r="G15" i="85"/>
  <c r="G16" i="85"/>
  <c r="G17" i="85"/>
  <c r="G18" i="85"/>
  <c r="G21" i="85"/>
  <c r="G22" i="85"/>
  <c r="G23" i="85"/>
  <c r="G24" i="85"/>
  <c r="G25" i="85"/>
  <c r="G26" i="85"/>
  <c r="G2" i="85"/>
  <c r="G7" i="84" l="1"/>
  <c r="G8" i="84"/>
  <c r="G9" i="84"/>
  <c r="G4" i="83"/>
  <c r="G5" i="83"/>
  <c r="G6" i="83"/>
  <c r="G7" i="83"/>
  <c r="G8" i="83"/>
  <c r="G9" i="83"/>
  <c r="G10" i="83"/>
  <c r="G11" i="83"/>
  <c r="G12" i="83"/>
  <c r="G13" i="83"/>
  <c r="G15" i="83"/>
  <c r="G16" i="83"/>
  <c r="G17" i="83"/>
  <c r="G22" i="83"/>
  <c r="G23" i="83"/>
  <c r="G24" i="83"/>
  <c r="G25" i="83"/>
  <c r="G26" i="83"/>
  <c r="G27" i="83"/>
  <c r="G28" i="83"/>
  <c r="G30" i="83"/>
  <c r="G31" i="83"/>
  <c r="G32" i="83"/>
  <c r="G33" i="83"/>
  <c r="G34" i="83"/>
  <c r="G35" i="83"/>
  <c r="G3" i="83"/>
  <c r="G2" i="82"/>
  <c r="G3" i="82"/>
  <c r="G7" i="82"/>
  <c r="G8" i="82"/>
  <c r="G9" i="82"/>
  <c r="G13" i="82"/>
  <c r="G15" i="82"/>
  <c r="G16" i="82"/>
  <c r="G18" i="82"/>
  <c r="G19" i="82"/>
  <c r="G23" i="82"/>
  <c r="G26" i="82"/>
  <c r="G28" i="82"/>
  <c r="G29" i="82"/>
  <c r="G30" i="82"/>
  <c r="G31" i="82"/>
  <c r="G4" i="81" l="1"/>
  <c r="G5" i="81"/>
  <c r="G6" i="81"/>
  <c r="G7" i="81"/>
  <c r="G8" i="81"/>
  <c r="G11" i="81"/>
  <c r="G12" i="81"/>
  <c r="G13" i="81"/>
  <c r="G14" i="81"/>
  <c r="G15" i="81"/>
  <c r="G16" i="81"/>
  <c r="G17" i="81"/>
  <c r="G18" i="81"/>
  <c r="G19" i="81"/>
  <c r="G20" i="81"/>
  <c r="G21" i="81"/>
  <c r="G22" i="81"/>
  <c r="G23" i="81"/>
  <c r="G24" i="81"/>
  <c r="G25" i="81"/>
  <c r="G26" i="81"/>
  <c r="G27" i="81"/>
  <c r="G30" i="81"/>
  <c r="G31" i="81"/>
  <c r="G33" i="81"/>
  <c r="G3" i="81"/>
  <c r="G2" i="80"/>
  <c r="G3" i="78"/>
  <c r="G4" i="78"/>
  <c r="G5" i="78"/>
  <c r="G6" i="78"/>
  <c r="G7" i="78"/>
  <c r="G8" i="78"/>
  <c r="G9" i="78"/>
  <c r="G10" i="78"/>
  <c r="G11" i="78"/>
  <c r="G12" i="78"/>
  <c r="G13" i="78"/>
  <c r="G14" i="78"/>
  <c r="G15" i="78"/>
  <c r="G16" i="78"/>
  <c r="G17" i="78"/>
  <c r="G18" i="78"/>
  <c r="G19" i="78"/>
  <c r="G20" i="78"/>
  <c r="G21" i="78"/>
  <c r="G22" i="78"/>
  <c r="G23" i="78"/>
  <c r="G2" i="78"/>
  <c r="G3" i="79"/>
  <c r="G6" i="79"/>
  <c r="G7" i="79"/>
  <c r="G9" i="79"/>
  <c r="G11" i="79"/>
  <c r="G13" i="79"/>
  <c r="G14" i="79"/>
  <c r="G15" i="79"/>
  <c r="G16" i="79"/>
  <c r="G17" i="79"/>
  <c r="G18" i="79"/>
  <c r="G19" i="79"/>
  <c r="G20" i="79"/>
  <c r="G21" i="79"/>
  <c r="G22" i="79"/>
  <c r="G3" i="77"/>
  <c r="G4" i="77"/>
  <c r="G5" i="77"/>
  <c r="G7" i="77"/>
  <c r="G8" i="77"/>
  <c r="G9" i="77"/>
  <c r="G10" i="77"/>
  <c r="G11" i="77"/>
  <c r="G12" i="77"/>
  <c r="G13" i="77"/>
  <c r="G14" i="77"/>
  <c r="G15" i="77"/>
  <c r="G16" i="77"/>
  <c r="G17" i="77"/>
  <c r="G18" i="77"/>
  <c r="G19" i="77"/>
  <c r="G20" i="77"/>
  <c r="G21" i="77"/>
  <c r="G22" i="77"/>
  <c r="G23" i="77"/>
  <c r="G24" i="77"/>
  <c r="G25" i="77"/>
  <c r="G26" i="77"/>
  <c r="G27" i="77"/>
  <c r="G28" i="77"/>
  <c r="G29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8" i="77"/>
  <c r="G49" i="77"/>
  <c r="G50" i="77"/>
  <c r="G51" i="77"/>
  <c r="G52" i="77"/>
  <c r="G55" i="77"/>
  <c r="G56" i="77"/>
  <c r="G57" i="77"/>
  <c r="G58" i="77"/>
  <c r="G59" i="77"/>
  <c r="G2" i="77"/>
  <c r="G3" i="76"/>
  <c r="G4" i="76"/>
  <c r="G5" i="76"/>
  <c r="G6" i="76"/>
  <c r="G7" i="76"/>
  <c r="G8" i="76"/>
  <c r="G9" i="76"/>
  <c r="G10" i="76"/>
  <c r="G11" i="76"/>
  <c r="G12" i="76"/>
  <c r="G20" i="76"/>
  <c r="G21" i="76"/>
  <c r="G22" i="76"/>
  <c r="G24" i="76"/>
  <c r="G25" i="76"/>
  <c r="G26" i="76"/>
  <c r="G27" i="76"/>
  <c r="G28" i="76"/>
  <c r="G29" i="76"/>
  <c r="G30" i="76"/>
  <c r="G31" i="76"/>
  <c r="G32" i="76"/>
  <c r="G33" i="76"/>
  <c r="G2" i="76"/>
  <c r="G3" i="75"/>
  <c r="G4" i="75"/>
  <c r="G5" i="75"/>
  <c r="G7" i="75"/>
  <c r="G8" i="75"/>
  <c r="G9" i="75"/>
  <c r="G10" i="75"/>
  <c r="G11" i="75"/>
  <c r="G13" i="75"/>
  <c r="G14" i="75"/>
  <c r="G16" i="75"/>
  <c r="G17" i="75"/>
  <c r="G18" i="75"/>
  <c r="G20" i="75"/>
  <c r="G21" i="75"/>
  <c r="G22" i="75"/>
  <c r="G24" i="75"/>
  <c r="G25" i="75"/>
  <c r="G26" i="75"/>
  <c r="G28" i="75"/>
  <c r="G29" i="75"/>
  <c r="G31" i="75"/>
  <c r="G33" i="75"/>
  <c r="G34" i="75"/>
  <c r="G35" i="75"/>
  <c r="G36" i="75"/>
  <c r="G37" i="75"/>
  <c r="G38" i="75"/>
  <c r="G39" i="75"/>
  <c r="G40" i="75"/>
  <c r="G41" i="75"/>
  <c r="G2" i="75"/>
  <c r="G2" i="74"/>
  <c r="F3" i="97"/>
  <c r="F4" i="97"/>
  <c r="F5" i="97"/>
  <c r="F6" i="97"/>
  <c r="F7" i="97"/>
  <c r="F8" i="97"/>
  <c r="F9" i="97"/>
  <c r="F10" i="97"/>
  <c r="F12" i="97"/>
  <c r="F13" i="97"/>
  <c r="F2" i="97"/>
  <c r="G4" i="73"/>
  <c r="G5" i="73"/>
  <c r="G6" i="73"/>
  <c r="G8" i="73"/>
  <c r="G9" i="73"/>
  <c r="G11" i="73"/>
  <c r="G4" i="72"/>
  <c r="G5" i="72"/>
  <c r="G8" i="72"/>
  <c r="G9" i="72"/>
  <c r="G11" i="72"/>
  <c r="G3" i="72"/>
  <c r="G3" i="71"/>
  <c r="G4" i="71"/>
  <c r="G6" i="71"/>
  <c r="G7" i="71"/>
  <c r="G8" i="71"/>
  <c r="G9" i="71"/>
  <c r="G10" i="71"/>
  <c r="G13" i="71"/>
  <c r="G14" i="71"/>
  <c r="G15" i="71"/>
  <c r="G16" i="71"/>
  <c r="G17" i="71"/>
  <c r="G2" i="71"/>
  <c r="G3" i="70"/>
  <c r="G3" i="69"/>
  <c r="G4" i="69"/>
  <c r="G5" i="69"/>
  <c r="G6" i="69"/>
  <c r="G7" i="69"/>
  <c r="G8" i="69"/>
  <c r="G9" i="69"/>
  <c r="G10" i="69"/>
  <c r="G11" i="69"/>
  <c r="G13" i="69"/>
  <c r="G15" i="69"/>
  <c r="G16" i="69"/>
  <c r="G17" i="69"/>
  <c r="G18" i="69"/>
  <c r="G20" i="69"/>
  <c r="G21" i="69"/>
  <c r="G22" i="69"/>
  <c r="G2" i="69"/>
  <c r="G5" i="66"/>
  <c r="G13" i="66"/>
  <c r="G2" i="65"/>
  <c r="G6" i="64"/>
  <c r="G16" i="64"/>
  <c r="G9" i="63"/>
  <c r="G13" i="63"/>
  <c r="G16" i="63"/>
  <c r="D5" i="101" l="1"/>
  <c r="F2" i="91"/>
  <c r="F2" i="86"/>
  <c r="AT2" i="54" l="1"/>
  <c r="AP274" i="54" l="1"/>
  <c r="AN274" i="54" l="1"/>
  <c r="AO274" i="54"/>
  <c r="AG274" i="54" l="1"/>
  <c r="AI274" i="54"/>
  <c r="AJ274" i="54"/>
  <c r="L274" i="54" l="1"/>
  <c r="S274" i="54" l="1"/>
  <c r="F4" i="90" l="1"/>
  <c r="P274" i="54" l="1"/>
  <c r="Q274" i="54"/>
  <c r="R274" i="54"/>
  <c r="T274" i="54"/>
  <c r="F2" i="96" l="1"/>
  <c r="F3" i="96"/>
  <c r="F2" i="93"/>
  <c r="F2" i="92"/>
  <c r="F5" i="90"/>
  <c r="F3" i="88"/>
  <c r="F4" i="88"/>
  <c r="F5" i="88"/>
  <c r="F3" i="86"/>
  <c r="F4" i="86"/>
  <c r="F5" i="86"/>
  <c r="F6" i="86"/>
  <c r="F7" i="86"/>
  <c r="F8" i="86"/>
  <c r="F9" i="86"/>
  <c r="F10" i="86"/>
  <c r="F11" i="86"/>
  <c r="F12" i="86"/>
  <c r="F13" i="86"/>
  <c r="F2" i="80"/>
  <c r="F4" i="73"/>
  <c r="F6" i="73"/>
  <c r="F8" i="73"/>
  <c r="F9" i="73"/>
  <c r="F11" i="73"/>
  <c r="H274" i="54" l="1"/>
  <c r="I274" i="54"/>
  <c r="J274" i="54"/>
  <c r="K274" i="54"/>
  <c r="M274" i="54"/>
  <c r="N274" i="54"/>
  <c r="O274" i="54"/>
  <c r="U274" i="54"/>
  <c r="V274" i="54"/>
  <c r="W274" i="54"/>
  <c r="X274" i="54"/>
  <c r="Y274" i="54"/>
  <c r="Z274" i="54"/>
  <c r="AA274" i="54"/>
  <c r="AC274" i="54"/>
  <c r="AD274" i="54"/>
  <c r="AE274" i="54"/>
  <c r="AF274" i="54"/>
  <c r="AK274" i="54"/>
  <c r="AL274" i="54"/>
  <c r="AM274" i="54"/>
  <c r="G274" i="54"/>
</calcChain>
</file>

<file path=xl/sharedStrings.xml><?xml version="1.0" encoding="utf-8"?>
<sst xmlns="http://schemas.openxmlformats.org/spreadsheetml/2006/main" count="4660" uniqueCount="1395">
  <si>
    <t>BSS-L</t>
    <phoneticPr fontId="1" type="noConversion"/>
  </si>
  <si>
    <t>BSS 500ml</t>
  </si>
  <si>
    <t>Miostat 0.01% 1.5ml sol</t>
  </si>
  <si>
    <t>XDOPA4D2</t>
    <phoneticPr fontId="1" type="noConversion"/>
  </si>
  <si>
    <t>XNA40</t>
    <phoneticPr fontId="1" type="noConversion"/>
  </si>
  <si>
    <t>XGOSE</t>
  </si>
  <si>
    <t>IPRAT-RS</t>
    <phoneticPr fontId="1" type="noConversion"/>
  </si>
  <si>
    <t>LNORG52</t>
    <phoneticPr fontId="1" type="noConversion"/>
  </si>
  <si>
    <t>XEMOL1</t>
    <phoneticPr fontId="1" type="noConversion"/>
  </si>
  <si>
    <t>XCAGL</t>
    <phoneticPr fontId="1" type="noConversion"/>
  </si>
  <si>
    <t>XOXYT</t>
    <phoneticPr fontId="1" type="noConversion"/>
  </si>
  <si>
    <t>XFMXEF</t>
  </si>
  <si>
    <t>Custodiol solution</t>
    <phoneticPr fontId="1" type="noConversion"/>
  </si>
  <si>
    <t>XCLM</t>
  </si>
  <si>
    <t>XHEPAR5</t>
    <phoneticPr fontId="1" type="noConversion"/>
  </si>
  <si>
    <t>XATOSB6</t>
    <phoneticPr fontId="1" type="noConversion"/>
  </si>
  <si>
    <t>XATOSB3</t>
    <phoneticPr fontId="1" type="noConversion"/>
  </si>
  <si>
    <t>XFLUMA3</t>
    <phoneticPr fontId="1" type="noConversion"/>
  </si>
  <si>
    <t>XLID1</t>
  </si>
  <si>
    <t>XPSPA</t>
  </si>
  <si>
    <t>XPROT</t>
  </si>
  <si>
    <t>XEPIN</t>
  </si>
  <si>
    <t>XDOB5D2</t>
    <phoneticPr fontId="1" type="noConversion"/>
  </si>
  <si>
    <t>XGPYRO</t>
    <phoneticPr fontId="1" type="noConversion"/>
  </si>
  <si>
    <t>XNORE10</t>
    <phoneticPr fontId="1" type="noConversion"/>
  </si>
  <si>
    <t>XICARM</t>
  </si>
  <si>
    <t>XMEROP</t>
  </si>
  <si>
    <t>XTRAM50</t>
    <phoneticPr fontId="1" type="noConversion"/>
  </si>
  <si>
    <t>XPCMOL</t>
  </si>
  <si>
    <t>XMEXO</t>
  </si>
  <si>
    <t>XMERGO</t>
  </si>
  <si>
    <t>XMPD5</t>
    <phoneticPr fontId="1" type="noConversion"/>
  </si>
  <si>
    <t>X2PHY2</t>
  </si>
  <si>
    <t>CLOPID</t>
    <phoneticPr fontId="1" type="noConversion"/>
  </si>
  <si>
    <t>XTAMC40</t>
    <phoneticPr fontId="1" type="noConversion"/>
  </si>
  <si>
    <t>ASP1PR</t>
  </si>
  <si>
    <t>XBH</t>
  </si>
  <si>
    <t>XPHEPH1</t>
    <phoneticPr fontId="1" type="noConversion"/>
  </si>
  <si>
    <t>XCTRX5</t>
  </si>
  <si>
    <t>XHPD</t>
  </si>
  <si>
    <t>CBCHOL-T</t>
  </si>
  <si>
    <t>XB1</t>
  </si>
  <si>
    <t>XPPD</t>
  </si>
  <si>
    <t>XTRAM100</t>
    <phoneticPr fontId="1" type="noConversion"/>
  </si>
  <si>
    <t>XADH</t>
    <phoneticPr fontId="1" type="noConversion"/>
  </si>
  <si>
    <t>XIRONSU</t>
    <phoneticPr fontId="1" type="noConversion"/>
  </si>
  <si>
    <t>SALB-NB</t>
    <phoneticPr fontId="1" type="noConversion"/>
  </si>
  <si>
    <t>XK1</t>
    <phoneticPr fontId="1" type="noConversion"/>
  </si>
  <si>
    <t>약품코드</t>
    <phoneticPr fontId="1" type="noConversion"/>
  </si>
  <si>
    <t>일반명</t>
    <phoneticPr fontId="1" type="noConversion"/>
  </si>
  <si>
    <t>규격</t>
    <phoneticPr fontId="1" type="noConversion"/>
  </si>
  <si>
    <t>XHEPAR1</t>
    <phoneticPr fontId="1" type="noConversion"/>
  </si>
  <si>
    <t>XMGSF10</t>
  </si>
  <si>
    <t>XKROL</t>
  </si>
  <si>
    <t>XDGX</t>
  </si>
  <si>
    <t>XATRO</t>
  </si>
  <si>
    <t>XPSTIG</t>
  </si>
  <si>
    <t>XRITOD</t>
    <phoneticPr fontId="1" type="noConversion"/>
  </si>
  <si>
    <t>XETOM</t>
    <phoneticPr fontId="1" type="noConversion"/>
  </si>
  <si>
    <t>XULIST10</t>
    <phoneticPr fontId="1" type="noConversion"/>
  </si>
  <si>
    <t>XDXM</t>
  </si>
  <si>
    <t>XHURON75</t>
    <phoneticPr fontId="1" type="noConversion"/>
  </si>
  <si>
    <t>XRPCA7</t>
  </si>
  <si>
    <t>XFURO</t>
    <phoneticPr fontId="1" type="noConversion"/>
  </si>
  <si>
    <t>XMILRIN</t>
  </si>
  <si>
    <t>XNALO.4</t>
  </si>
  <si>
    <t>XEPHE</t>
  </si>
  <si>
    <t>XDILT</t>
    <phoneticPr fontId="1" type="noConversion"/>
  </si>
  <si>
    <t>XTPA20</t>
  </si>
  <si>
    <t>XAMIOD</t>
  </si>
  <si>
    <t>MYP-T</t>
    <phoneticPr fontId="1" type="noConversion"/>
  </si>
  <si>
    <t>XRAMOSET</t>
    <phoneticPr fontId="1" type="noConversion"/>
  </si>
  <si>
    <t>Clotinab 10mg/5ml Inj</t>
  </si>
  <si>
    <t>XABCIX</t>
  </si>
  <si>
    <t>ROVAV2-S</t>
    <phoneticPr fontId="1" type="noConversion"/>
  </si>
  <si>
    <t>XPALON</t>
    <phoneticPr fontId="1" type="noConversion"/>
  </si>
  <si>
    <t>XCZEDO</t>
    <phoneticPr fontId="1" type="noConversion"/>
  </si>
  <si>
    <t>Denogan 1g inj</t>
  </si>
  <si>
    <t>Protamine sulfate 50mg inj</t>
  </si>
  <si>
    <t xml:space="preserve">Nasea 0.3mg inj </t>
  </si>
  <si>
    <t>Esmeron 50mg/5ml inj</t>
  </si>
  <si>
    <t xml:space="preserve">Triam 40mg inj </t>
  </si>
  <si>
    <t>XC500</t>
    <phoneticPr fontId="1" type="noConversion"/>
  </si>
  <si>
    <t>XADENO90</t>
    <phoneticPr fontId="1" type="noConversion"/>
  </si>
  <si>
    <t>BSSP-L</t>
    <phoneticPr fontId="1" type="noConversion"/>
  </si>
  <si>
    <t>XTPA50</t>
    <phoneticPr fontId="1" type="noConversion"/>
  </si>
  <si>
    <t>BSS plus 500ml</t>
  </si>
  <si>
    <t>XLABETA20</t>
    <phoneticPr fontId="1" type="noConversion"/>
  </si>
  <si>
    <t>XPNEUMO13</t>
    <phoneticPr fontId="1" type="noConversion"/>
  </si>
  <si>
    <t>XDICLOF</t>
    <phoneticPr fontId="1" type="noConversion"/>
  </si>
  <si>
    <t>XHES6MPS5</t>
    <phoneticPr fontId="1" type="noConversion"/>
  </si>
  <si>
    <t>XXEPOA3K</t>
    <phoneticPr fontId="1" type="noConversion"/>
  </si>
  <si>
    <t>XXEPOA4K</t>
    <phoneticPr fontId="1" type="noConversion"/>
  </si>
  <si>
    <t>XNITR10F</t>
    <phoneticPr fontId="1" type="noConversion"/>
  </si>
  <si>
    <t>XXEPOA6K</t>
    <phoneticPr fontId="1" type="noConversion"/>
  </si>
  <si>
    <t>XCMINX</t>
    <phoneticPr fontId="1" type="noConversion"/>
  </si>
  <si>
    <t>XDOPA4</t>
    <phoneticPr fontId="1" type="noConversion"/>
  </si>
  <si>
    <t>XESOME40</t>
    <phoneticPr fontId="1" type="noConversion"/>
  </si>
  <si>
    <t>XMVP12</t>
    <phoneticPr fontId="1" type="noConversion"/>
  </si>
  <si>
    <t>Dibeta-C 90mg/2ml inj</t>
  </si>
  <si>
    <t>Ibandronate 3mg (PFS)</t>
  </si>
  <si>
    <t>Clindamycin 300mg</t>
  </si>
  <si>
    <t>XPROG</t>
  </si>
  <si>
    <t>Progesterone 500mg</t>
  </si>
  <si>
    <t>Progesterone 500mg Inj(Taiyu)</t>
  </si>
  <si>
    <t>Cefazedone 2g</t>
  </si>
  <si>
    <t>XXFILG150</t>
  </si>
  <si>
    <t>Grasin 150mcg PFS</t>
  </si>
  <si>
    <t>filgrastim 150mcg</t>
  </si>
  <si>
    <t>XPALON75</t>
    <phoneticPr fontId="1" type="noConversion"/>
  </si>
  <si>
    <t>XPALP100L</t>
  </si>
  <si>
    <t>XPALP150L</t>
  </si>
  <si>
    <t>THROM-W</t>
    <phoneticPr fontId="1" type="noConversion"/>
  </si>
  <si>
    <t>Thrombin FD powder이연</t>
  </si>
  <si>
    <t>XXEPOA8K</t>
    <phoneticPr fontId="1" type="noConversion"/>
  </si>
  <si>
    <t>XXEPOA10K</t>
  </si>
  <si>
    <t>XHCS100</t>
    <phoneticPr fontId="1" type="noConversion"/>
  </si>
  <si>
    <t>XCFACT120</t>
    <phoneticPr fontId="1" type="noConversion"/>
  </si>
  <si>
    <t>X20SMOF50</t>
    <phoneticPr fontId="1" type="noConversion"/>
  </si>
  <si>
    <t>XLEUPD375</t>
    <phoneticPr fontId="1" type="noConversion"/>
  </si>
  <si>
    <t>LEUPLIN DPS 11.25mg Inj</t>
    <phoneticPr fontId="1" type="noConversion"/>
  </si>
  <si>
    <t>XXLEUPD11</t>
    <phoneticPr fontId="1" type="noConversion"/>
  </si>
  <si>
    <t>Megagreen 10g/20ml inj</t>
    <phoneticPr fontId="1" type="noConversion"/>
  </si>
  <si>
    <t>Gardasil 0.5ml pfs</t>
  </si>
  <si>
    <t>XXHPV4</t>
  </si>
  <si>
    <t>XC10W</t>
  </si>
  <si>
    <t>Vitamine D3 B.O.N Inj</t>
  </si>
  <si>
    <t>XD3</t>
  </si>
  <si>
    <t>Atrovent UDV 2ml/Amp</t>
  </si>
  <si>
    <t>Cefazedone 1g inj</t>
  </si>
  <si>
    <t>Keromin 30mg Inj</t>
  </si>
  <si>
    <t>NaCl 40mEq/20ml</t>
  </si>
  <si>
    <t>Mucomyst 20% 4ml sol</t>
  </si>
  <si>
    <t>Perdipine 10mg inj</t>
  </si>
  <si>
    <t>Peridol 5mg inj</t>
  </si>
  <si>
    <t>Tridol 50mg inj</t>
  </si>
  <si>
    <t>Peniramin 4mg/2ml inj</t>
  </si>
  <si>
    <t>Fazidone 2g inj</t>
  </si>
  <si>
    <t>Norpin 10mg inj</t>
  </si>
  <si>
    <t>Tropin 400mg inj</t>
  </si>
  <si>
    <t>Tridol 100mg inj</t>
  </si>
  <si>
    <t>Aloxi 0.075mg/1.5ml inj</t>
  </si>
  <si>
    <t>SMOFlipid 20% 500ml Inj</t>
  </si>
  <si>
    <t>Ulistin 100000 IU inj</t>
  </si>
  <si>
    <t>Curosurf 120mg inj.</t>
  </si>
  <si>
    <t>Rotateq sol 2ml</t>
  </si>
  <si>
    <t>X20AL1S</t>
    <phoneticPr fontId="1" type="noConversion"/>
  </si>
  <si>
    <t>Bayer Aspirin 100mg tab</t>
  </si>
  <si>
    <t>Plavix 75mg tab</t>
  </si>
  <si>
    <t>Aspirin protect 100mg tab</t>
  </si>
  <si>
    <t xml:space="preserve">Mydrin-P oph sol </t>
  </si>
  <si>
    <t>Dulcolax suppo</t>
  </si>
  <si>
    <t xml:space="preserve">Mirena 20mcg/52mg IUS </t>
  </si>
  <si>
    <t>Ventolin nebule 2.5mg</t>
  </si>
  <si>
    <t>Ascorbic acid 500mg/2ml inj</t>
  </si>
  <si>
    <t xml:space="preserve">Atropine sulfate 0.5mg/1ml inj </t>
  </si>
  <si>
    <t>Betamethasone 4mg inj</t>
  </si>
  <si>
    <t>Bonky 1mcg inj</t>
  </si>
  <si>
    <t>Carmine 0.8% 5ml inj</t>
  </si>
  <si>
    <t>Dexamethasone 5mg inj</t>
  </si>
  <si>
    <t>Digoxin 0.25mg inj</t>
  </si>
  <si>
    <t>Ephedrine HCl 40mg inj</t>
  </si>
  <si>
    <t xml:space="preserve">Epinephrine 1mg/1ml inj </t>
  </si>
  <si>
    <t xml:space="preserve">Eruvin 0.2mg inj </t>
  </si>
  <si>
    <t>Etomidate lipuro 20mg/10ml inj</t>
  </si>
  <si>
    <t>Flunil 0.3mg/3ml inj</t>
  </si>
  <si>
    <t>Fullgram 300mg/2ml</t>
  </si>
  <si>
    <t>Gentamicin 80mg inj</t>
  </si>
  <si>
    <t>Labesin 20mg/4ml inj</t>
  </si>
  <si>
    <t xml:space="preserve">Lasix 20mg inj </t>
  </si>
  <si>
    <t xml:space="preserve">Lavopar 50mg inj </t>
  </si>
  <si>
    <t xml:space="preserve">Macperan 10mg inj </t>
  </si>
  <si>
    <t>Mobinul 0.2mg/1ml inj</t>
  </si>
  <si>
    <t>Naloxone HCl 0.4mg inj</t>
  </si>
  <si>
    <t xml:space="preserve">Naropin 7.5mg/ml 20ml inj </t>
  </si>
  <si>
    <t xml:space="preserve">Nitrolingual 10mg inj </t>
  </si>
  <si>
    <t xml:space="preserve">Papaverine 30mg/1ml inj </t>
  </si>
  <si>
    <t>Primacor 10mg inj</t>
  </si>
  <si>
    <t xml:space="preserve">Pyrinol 5mg/1ml inj </t>
  </si>
  <si>
    <t>Thiamine 50mg/2ml inj</t>
  </si>
  <si>
    <t>Venoferrum 100mg(Fe)/5ml inj</t>
  </si>
  <si>
    <t xml:space="preserve">Vitamin K1 10mg/1ml inj </t>
  </si>
  <si>
    <t>Actylase 20mg/20ml inj</t>
  </si>
  <si>
    <t>Actylase 50mg/50ml inj</t>
  </si>
  <si>
    <t>Aloxi 0.25mg/5ml Inj</t>
  </si>
  <si>
    <t xml:space="preserve">Calcium gluconate  2g inj </t>
  </si>
  <si>
    <t>Ceftriaxone 500mg inj CJ</t>
  </si>
  <si>
    <t>Cortisolu 100mg inj.</t>
  </si>
  <si>
    <t>Denosin 90mg/30ml inj</t>
  </si>
  <si>
    <t xml:space="preserve">Flumarin 0.5g inj </t>
  </si>
  <si>
    <t>Heparin sod. 20000IU/20ml inj 중외</t>
  </si>
  <si>
    <t>Heparin sod. 25000IU/5ml inj</t>
  </si>
  <si>
    <t>Herben 50mg inj</t>
  </si>
  <si>
    <t>Invega sustenna 156mg(100mg)  inj. 1ml/srg</t>
  </si>
  <si>
    <t>Invega sustenna 234mg(150mg)  inj. 1.5ml/srg</t>
  </si>
  <si>
    <t>Leuplin vial 3.75mg</t>
  </si>
  <si>
    <t>Lidocaine HCI 1% 20ml inj</t>
  </si>
  <si>
    <t>Magnesium sulfate 10% 20ml inj</t>
  </si>
  <si>
    <t>Meicelin 1g inj</t>
  </si>
  <si>
    <t>Meropen 500mg inj</t>
  </si>
  <si>
    <t>Nexium 40mg inj.</t>
  </si>
  <si>
    <t>Nitropress 50mg inj</t>
  </si>
  <si>
    <t>Phenylephrine 1% 1ml inj</t>
  </si>
  <si>
    <t>Predi-Sol 500mg inj</t>
  </si>
  <si>
    <t>Sod.bicarbonate 8.4% 20ml inj</t>
  </si>
  <si>
    <t>Tamipool inj.</t>
  </si>
  <si>
    <t>Zoladex depot 3.6mg inj</t>
  </si>
  <si>
    <t xml:space="preserve">Beecom hexa 2ml inj </t>
  </si>
  <si>
    <t>Epokine pfs 10000iu inj</t>
  </si>
  <si>
    <t>Epokine pfs 3000iu inj</t>
  </si>
  <si>
    <t>Epokine pfs 4000iu inj</t>
  </si>
  <si>
    <t>Epokine pfs 6000iu inj</t>
  </si>
  <si>
    <t>Epokine pfs 8000iu inj</t>
  </si>
  <si>
    <t>Oxiton 5iu/ml  inj</t>
  </si>
  <si>
    <t>Tractocile 37.5mg inj</t>
  </si>
  <si>
    <t>Tractocile 6.75mg inj</t>
  </si>
  <si>
    <t xml:space="preserve">Vasopressin 20u inj </t>
  </si>
  <si>
    <t>Viscoat 0.75ml syringe</t>
  </si>
  <si>
    <t xml:space="preserve">DOBUTamine/D5W 500mg/250ml bag </t>
  </si>
  <si>
    <t>DOPamine/D5W 400mg/200ml bag CJ</t>
  </si>
  <si>
    <t>Physioneal 1.5% 2L two bag</t>
  </si>
  <si>
    <t>Physioneal 2.5% 2L two bag</t>
  </si>
  <si>
    <t>Albumin(SK) 20% 100ml inj</t>
  </si>
  <si>
    <t>Volulyte 6% 500ml inj</t>
  </si>
  <si>
    <t>XCALCIT1</t>
    <phoneticPr fontId="1" type="noConversion"/>
  </si>
  <si>
    <t>Adenocor 6mg/2ml inj</t>
    <phoneticPr fontId="1" type="noConversion"/>
  </si>
  <si>
    <t>XADENO6</t>
    <phoneticPr fontId="1" type="noConversion"/>
  </si>
  <si>
    <t>XHTK1-L</t>
    <phoneticPr fontId="1" type="noConversion"/>
  </si>
  <si>
    <t>MISOP2</t>
    <phoneticPr fontId="1" type="noConversion"/>
  </si>
  <si>
    <t>Cytotec 200mcg tab</t>
    <phoneticPr fontId="1" type="noConversion"/>
  </si>
  <si>
    <t>XXEPOA2</t>
    <phoneticPr fontId="1" type="noConversion"/>
  </si>
  <si>
    <t>Epokine pfs 2000iu inj</t>
    <phoneticPr fontId="1" type="noConversion"/>
  </si>
  <si>
    <t>XFLUMA</t>
    <phoneticPr fontId="1" type="noConversion"/>
  </si>
  <si>
    <t>Flunil 0.5mg/5ml inj</t>
    <phoneticPr fontId="1" type="noConversion"/>
  </si>
  <si>
    <t>XCPENIR</t>
    <phoneticPr fontId="1" type="noConversion"/>
  </si>
  <si>
    <t>XTAZOC4W</t>
    <phoneticPr fontId="1" type="noConversion"/>
  </si>
  <si>
    <t>Tazoractam 4.5g inj</t>
    <phoneticPr fontId="1" type="noConversion"/>
  </si>
  <si>
    <t>61W</t>
    <phoneticPr fontId="1" type="noConversion"/>
  </si>
  <si>
    <t>62W</t>
    <phoneticPr fontId="1" type="noConversion"/>
  </si>
  <si>
    <t>71W</t>
    <phoneticPr fontId="1" type="noConversion"/>
  </si>
  <si>
    <t>72W</t>
    <phoneticPr fontId="1" type="noConversion"/>
  </si>
  <si>
    <t>82W</t>
    <phoneticPr fontId="1" type="noConversion"/>
  </si>
  <si>
    <t>91W</t>
    <phoneticPr fontId="1" type="noConversion"/>
  </si>
  <si>
    <t>92W</t>
    <phoneticPr fontId="1" type="noConversion"/>
  </si>
  <si>
    <t>102W</t>
    <phoneticPr fontId="1" type="noConversion"/>
  </si>
  <si>
    <t>111W</t>
    <phoneticPr fontId="1" type="noConversion"/>
  </si>
  <si>
    <t>121W</t>
    <phoneticPr fontId="1" type="noConversion"/>
  </si>
  <si>
    <t>SICU</t>
    <phoneticPr fontId="1" type="noConversion"/>
  </si>
  <si>
    <t>MICU</t>
    <phoneticPr fontId="1" type="noConversion"/>
  </si>
  <si>
    <t>AN</t>
    <phoneticPr fontId="1" type="noConversion"/>
  </si>
  <si>
    <t>DRL</t>
    <phoneticPr fontId="1" type="noConversion"/>
  </si>
  <si>
    <t>OR</t>
    <phoneticPr fontId="1" type="noConversion"/>
  </si>
  <si>
    <t>HBEF심혈관조영실</t>
    <phoneticPr fontId="1" type="noConversion"/>
  </si>
  <si>
    <t>PED</t>
    <phoneticPr fontId="1" type="noConversion"/>
  </si>
  <si>
    <t>체외순환실</t>
    <phoneticPr fontId="1" type="noConversion"/>
  </si>
  <si>
    <t>외래주사실</t>
    <phoneticPr fontId="1" type="noConversion"/>
  </si>
  <si>
    <t>영상의학과</t>
    <phoneticPr fontId="1" type="noConversion"/>
  </si>
  <si>
    <t>안과</t>
    <phoneticPr fontId="1" type="noConversion"/>
  </si>
  <si>
    <t>재활의학과</t>
    <phoneticPr fontId="1" type="noConversion"/>
  </si>
  <si>
    <t>산부인과</t>
    <phoneticPr fontId="1" type="noConversion"/>
  </si>
  <si>
    <t>합계</t>
    <phoneticPr fontId="1" type="noConversion"/>
  </si>
  <si>
    <t>Pantoline 40mg inj</t>
    <phoneticPr fontId="1" type="noConversion"/>
  </si>
  <si>
    <t>Vecaron 10mg inj</t>
    <phoneticPr fontId="1" type="noConversion"/>
  </si>
  <si>
    <t>42W</t>
    <phoneticPr fontId="1" type="noConversion"/>
  </si>
  <si>
    <t>BUD2-RP</t>
  </si>
  <si>
    <t>XPANTO4</t>
    <phoneticPr fontId="1" type="noConversion"/>
  </si>
  <si>
    <t>Brevibloc 100mg inj</t>
    <phoneticPr fontId="1" type="noConversion"/>
  </si>
  <si>
    <t>영문상품명</t>
    <phoneticPr fontId="1" type="noConversion"/>
  </si>
  <si>
    <t>XVECUR10Y</t>
    <phoneticPr fontId="1" type="noConversion"/>
  </si>
  <si>
    <t>XNaK20</t>
    <phoneticPr fontId="1" type="noConversion"/>
  </si>
  <si>
    <t xml:space="preserve">Prevenar-13 (PED) inj </t>
    <phoneticPr fontId="1" type="noConversion"/>
  </si>
  <si>
    <t>Tuberculin PPD RT 23</t>
    <phoneticPr fontId="1" type="noConversion"/>
  </si>
  <si>
    <t>XEUV-P</t>
    <phoneticPr fontId="1" type="noConversion"/>
  </si>
  <si>
    <t>Euvax-B 0.5ml inj</t>
    <phoneticPr fontId="1" type="noConversion"/>
  </si>
  <si>
    <t>Synovian 60mg inj</t>
    <phoneticPr fontId="1" type="noConversion"/>
  </si>
  <si>
    <t>XXHYAL60</t>
    <phoneticPr fontId="1" type="noConversion"/>
  </si>
  <si>
    <t>Pulmican sus 0.5mg/2ml amp</t>
    <phoneticPr fontId="1" type="noConversion"/>
  </si>
  <si>
    <t>XNFMOS50</t>
    <phoneticPr fontId="1" type="noConversion"/>
  </si>
  <si>
    <t>Futhan 50mg inj</t>
    <phoneticPr fontId="1" type="noConversion"/>
  </si>
  <si>
    <t>XTESTO2W</t>
    <phoneticPr fontId="1" type="noConversion"/>
  </si>
  <si>
    <t>Testosterone Enanthate inj</t>
    <phoneticPr fontId="1" type="noConversion"/>
  </si>
  <si>
    <t>Nebido inj</t>
    <phoneticPr fontId="1" type="noConversion"/>
  </si>
  <si>
    <t>Nebido inj</t>
    <phoneticPr fontId="1" type="noConversion"/>
  </si>
  <si>
    <t>ROTARIX-S</t>
  </si>
  <si>
    <t>Rotarix prefilled 1.5ml</t>
  </si>
  <si>
    <t>Hirax 1500iu inj</t>
    <phoneticPr fontId="1" type="noConversion"/>
  </si>
  <si>
    <t>XHYALU15W</t>
    <phoneticPr fontId="1" type="noConversion"/>
  </si>
  <si>
    <t>XHYALU15W</t>
    <phoneticPr fontId="1" type="noConversion"/>
  </si>
  <si>
    <t>Hirax 1500iu inj</t>
    <phoneticPr fontId="1" type="noConversion"/>
  </si>
  <si>
    <t>XMMR2</t>
    <phoneticPr fontId="1" type="noConversion"/>
  </si>
  <si>
    <t xml:space="preserve">MMR II 0.5ml inj </t>
    <phoneticPr fontId="1" type="noConversion"/>
  </si>
  <si>
    <t>81W</t>
    <phoneticPr fontId="1" type="noConversion"/>
  </si>
  <si>
    <t>ADR</t>
    <phoneticPr fontId="1" type="noConversion"/>
  </si>
  <si>
    <t>XLEUPD3</t>
    <phoneticPr fontId="1" type="noConversion"/>
  </si>
  <si>
    <t>Luphere Depot inj 3.75mg</t>
    <phoneticPr fontId="1" type="noConversion"/>
  </si>
  <si>
    <t>XJENCVB2</t>
    <phoneticPr fontId="1" type="noConversion"/>
  </si>
  <si>
    <t>XXDPT.5W</t>
    <phoneticPr fontId="1" type="noConversion"/>
  </si>
  <si>
    <t>DTaP 0.5ml vaccine(Boryung)</t>
    <phoneticPr fontId="1" type="noConversion"/>
  </si>
  <si>
    <t>XD31</t>
    <phoneticPr fontId="1" type="noConversion"/>
  </si>
  <si>
    <t>XD33</t>
    <phoneticPr fontId="1" type="noConversion"/>
  </si>
  <si>
    <t>D3 Base 100000IU inj</t>
    <phoneticPr fontId="1" type="noConversion"/>
  </si>
  <si>
    <t>D3 Base 300000IU inj</t>
    <phoneticPr fontId="1" type="noConversion"/>
  </si>
  <si>
    <t>X5NEPH2W</t>
    <phoneticPr fontId="1" type="noConversion"/>
  </si>
  <si>
    <t>Nephsol 250ml bag</t>
    <phoneticPr fontId="1" type="noConversion"/>
  </si>
  <si>
    <t>XNIMO</t>
    <phoneticPr fontId="1" type="noConversion"/>
  </si>
  <si>
    <t>Nimodipine 10mg inj</t>
    <phoneticPr fontId="1" type="noConversion"/>
  </si>
  <si>
    <t xml:space="preserve">XLID2W </t>
    <phoneticPr fontId="1" type="noConversion"/>
  </si>
  <si>
    <t>XK20</t>
    <phoneticPr fontId="1" type="noConversion"/>
  </si>
  <si>
    <t>KCl 20mEq/20ml inj</t>
    <phoneticPr fontId="1" type="noConversion"/>
  </si>
  <si>
    <t>Cefotaxime 1g inj CJ</t>
    <phoneticPr fontId="1" type="noConversion"/>
  </si>
  <si>
    <t>XCTXM</t>
    <phoneticPr fontId="1" type="noConversion"/>
  </si>
  <si>
    <t>XPLASMA</t>
    <phoneticPr fontId="1" type="noConversion"/>
  </si>
  <si>
    <t>PLASMA solution A 1L bag</t>
    <phoneticPr fontId="1" type="noConversion"/>
  </si>
  <si>
    <t>J.E.V 0.4ml inj (Cell Culture)</t>
    <phoneticPr fontId="1" type="noConversion"/>
  </si>
  <si>
    <t>XPANTO4</t>
    <phoneticPr fontId="1" type="noConversion"/>
  </si>
  <si>
    <t>Pantoline 40mg inj</t>
    <phoneticPr fontId="1" type="noConversion"/>
  </si>
  <si>
    <t>XXARIPIP3</t>
    <phoneticPr fontId="1" type="noConversion"/>
  </si>
  <si>
    <t>Abilify maintena 300mg inj</t>
    <phoneticPr fontId="1" type="noConversion"/>
  </si>
  <si>
    <t>XXARIPIP4</t>
    <phoneticPr fontId="1" type="noConversion"/>
  </si>
  <si>
    <t>ABILIFY maintena 400MG inj</t>
    <phoneticPr fontId="1" type="noConversion"/>
  </si>
  <si>
    <t>Brevibloc 100mg inj</t>
    <phoneticPr fontId="1" type="noConversion"/>
  </si>
  <si>
    <t>XDOB250</t>
    <phoneticPr fontId="1" type="noConversion"/>
  </si>
  <si>
    <t>Doburan 250mg/5ml Inj</t>
    <phoneticPr fontId="1" type="noConversion"/>
  </si>
  <si>
    <t>Prolia 60mg pfs</t>
    <phoneticPr fontId="1" type="noConversion"/>
  </si>
  <si>
    <t>XXDENOSU</t>
    <phoneticPr fontId="1" type="noConversion"/>
  </si>
  <si>
    <t>Vancocin CP 1g inj</t>
    <phoneticPr fontId="1" type="noConversion"/>
  </si>
  <si>
    <t>Lidocaine HCI 2% 20ml inj</t>
    <phoneticPr fontId="1" type="noConversion"/>
  </si>
  <si>
    <t>XVANC1G</t>
    <phoneticPr fontId="1" type="noConversion"/>
  </si>
  <si>
    <t>피부과</t>
    <phoneticPr fontId="1" type="noConversion"/>
  </si>
  <si>
    <t>Epilatam 500mg inj</t>
    <phoneticPr fontId="1" type="noConversion"/>
  </si>
  <si>
    <t>XLEVET500W</t>
    <phoneticPr fontId="1" type="noConversion"/>
  </si>
  <si>
    <t>Cafsol 10% 500ml inj</t>
    <phoneticPr fontId="1" type="noConversion"/>
  </si>
  <si>
    <t>X10CAFS5</t>
    <phoneticPr fontId="1" type="noConversion"/>
  </si>
  <si>
    <t>Pentaxim inj</t>
    <phoneticPr fontId="1" type="noConversion"/>
  </si>
  <si>
    <t xml:space="preserve">Hyspan 20mg inj </t>
    <phoneticPr fontId="1" type="noConversion"/>
  </si>
  <si>
    <t>XTESTUN1W</t>
    <phoneticPr fontId="1" type="noConversion"/>
  </si>
  <si>
    <t>난임클리닉</t>
    <phoneticPr fontId="1" type="noConversion"/>
  </si>
  <si>
    <t>Mannitol 20% 100ml bag대한</t>
  </si>
  <si>
    <t>VANCOMYCIN HCI CJ INJ 500mg/V</t>
  </si>
  <si>
    <t>유사발음</t>
    <phoneticPr fontId="1" type="noConversion"/>
  </si>
  <si>
    <t>용량고주의</t>
    <phoneticPr fontId="1" type="noConversion"/>
  </si>
  <si>
    <t>유사모양</t>
    <phoneticPr fontId="1" type="noConversion"/>
  </si>
  <si>
    <t>유사모양</t>
    <phoneticPr fontId="1" type="noConversion"/>
  </si>
  <si>
    <t>XHEP100PM</t>
    <phoneticPr fontId="1" type="noConversion"/>
  </si>
  <si>
    <t>Heparin sodium inj 100IU/ml</t>
    <phoneticPr fontId="1" type="noConversion"/>
  </si>
  <si>
    <t>XXEPOB120</t>
  </si>
  <si>
    <t>XXEPOB200</t>
  </si>
  <si>
    <t>XXEPOB50</t>
  </si>
  <si>
    <t>XXEPOB75</t>
  </si>
  <si>
    <t>Micera 120mcg pfs</t>
  </si>
  <si>
    <t>Micera 200mcg pfs</t>
  </si>
  <si>
    <t>Micera 50mcg pfs</t>
  </si>
  <si>
    <t>Micera 75mcg pfs</t>
  </si>
  <si>
    <t>유사발음</t>
    <phoneticPr fontId="1" type="noConversion"/>
  </si>
  <si>
    <t>유사모양</t>
    <phoneticPr fontId="1" type="noConversion"/>
  </si>
  <si>
    <t>유사발음</t>
    <phoneticPr fontId="1" type="noConversion"/>
  </si>
  <si>
    <t>유사모양</t>
    <phoneticPr fontId="1" type="noConversion"/>
  </si>
  <si>
    <t>XJENCVB</t>
    <phoneticPr fontId="1" type="noConversion"/>
  </si>
  <si>
    <t>J.E.V 0.7ml inj (Cell Culture)</t>
    <phoneticPr fontId="1" type="noConversion"/>
  </si>
  <si>
    <t>혼돈주의약품</t>
    <phoneticPr fontId="1" type="noConversion"/>
  </si>
  <si>
    <t>XXPALP263</t>
    <phoneticPr fontId="1" type="noConversion"/>
  </si>
  <si>
    <t>Invega Trinza 546mg(350mg) pfs</t>
    <phoneticPr fontId="1" type="noConversion"/>
  </si>
  <si>
    <t>XXPALP350</t>
    <phoneticPr fontId="1" type="noConversion"/>
  </si>
  <si>
    <t>Invega Trinza 410mg(263mg) pfs</t>
    <phoneticPr fontId="1" type="noConversion"/>
  </si>
  <si>
    <t>XXPALP525</t>
    <phoneticPr fontId="1" type="noConversion"/>
  </si>
  <si>
    <t>Invega Trinza 819mg(525mg) pfs</t>
    <phoneticPr fontId="1" type="noConversion"/>
  </si>
  <si>
    <t>DSR</t>
    <phoneticPr fontId="1" type="noConversion"/>
  </si>
  <si>
    <t>NO</t>
    <phoneticPr fontId="1" type="noConversion"/>
  </si>
  <si>
    <t>X20M1X</t>
    <phoneticPr fontId="1" type="noConversion"/>
  </si>
  <si>
    <t>XEMOL25W</t>
    <phoneticPr fontId="1" type="noConversion"/>
  </si>
  <si>
    <t>Brevibloc 2.5g  inj(vial)</t>
    <phoneticPr fontId="1" type="noConversion"/>
  </si>
  <si>
    <t>보유비품종류</t>
    <phoneticPr fontId="1" type="noConversion"/>
  </si>
  <si>
    <t>AER</t>
    <phoneticPr fontId="1" type="noConversion"/>
  </si>
  <si>
    <t>NICU</t>
    <phoneticPr fontId="1" type="noConversion"/>
  </si>
  <si>
    <t>RH-tissue-type plasminogen activator</t>
  </si>
  <si>
    <t>Albumin 20% 100ml(SK)</t>
  </si>
  <si>
    <t>Palonosetron 0.075mg/1.5ml</t>
  </si>
  <si>
    <t>Palonsetron 0.05mg/ml</t>
  </si>
  <si>
    <t>Aspirin enteric coated 100mg tab</t>
  </si>
  <si>
    <t>Atropine sulfate 0.5mg</t>
  </si>
  <si>
    <t>Ipratropium bromide inh.soln 500mcg/2ml</t>
  </si>
  <si>
    <t>Beecom hexa*</t>
  </si>
  <si>
    <t>Betamethasone 4mg inj*</t>
  </si>
  <si>
    <t>Calcitriol 1mcg</t>
  </si>
  <si>
    <t>BSS plus*</t>
  </si>
  <si>
    <t>Calcium gluconate 9.29mEq/amp</t>
  </si>
  <si>
    <t>Indigocarmine 0.8%</t>
  </si>
  <si>
    <t>Cefazedone 1g</t>
  </si>
  <si>
    <t>Ceftriaxone 500mg</t>
  </si>
  <si>
    <t>Abciximab 10mg</t>
  </si>
  <si>
    <t>Hydrocortisone 100mg Inj</t>
  </si>
  <si>
    <t>Poractant alfa 120mg</t>
  </si>
  <si>
    <t>Propacetamol 1g</t>
  </si>
  <si>
    <t>Adenosine 90mg/30ml</t>
  </si>
  <si>
    <t>Dexamethasone 5mg</t>
  </si>
  <si>
    <t>diclofenac-β-dimethyl-aminoethanol 90mg/2ml</t>
  </si>
  <si>
    <t>Digoxin 0.25mg/1ml</t>
  </si>
  <si>
    <t>Dobutamine/D5W 500mg/250ml bag</t>
  </si>
  <si>
    <t>Dopamine/D5W 400mg/200ml bag</t>
  </si>
  <si>
    <t>Bisacodyl supp</t>
  </si>
  <si>
    <t>Carbetocin 100mcg</t>
  </si>
  <si>
    <t>Ephedrine HCl 40mg</t>
  </si>
  <si>
    <t>Epinephrine HCl 1mg</t>
  </si>
  <si>
    <t>Erythropoietin alpha 10,000IU</t>
  </si>
  <si>
    <t>Erythropoetin alpha 3000IU</t>
  </si>
  <si>
    <t>Erythropoetin alpha 4000IU</t>
  </si>
  <si>
    <t>Erythropoetin alpha 6000IU</t>
  </si>
  <si>
    <t>Erythropoietin alpha 8000IU</t>
  </si>
  <si>
    <t>Methylergometrin maleate 0.2mg</t>
  </si>
  <si>
    <t>Etomidate 20mg</t>
  </si>
  <si>
    <t>Flomoxef sodium 500mg</t>
  </si>
  <si>
    <t>Flumazenil 0.3mg</t>
  </si>
  <si>
    <t>Human papillomavirus vaccine pfs</t>
  </si>
  <si>
    <t>Famotidine 20mg inj</t>
  </si>
  <si>
    <t>Gentamicin sulfate 80mg</t>
  </si>
  <si>
    <t>Heparin sodium 20000IU/20ml</t>
  </si>
  <si>
    <t>Heparin sodium 25000u</t>
  </si>
  <si>
    <t>Diltiazem 50mg inj</t>
  </si>
  <si>
    <t>Palliperidone palmitate 156mg(100mg)</t>
  </si>
  <si>
    <t>Palliperidone palmitate 234mg(150mg)</t>
  </si>
  <si>
    <t>Ketorolac tromethamine 30mg</t>
  </si>
  <si>
    <t>Labetalol HCl 20mg inj</t>
  </si>
  <si>
    <t>Furosemide 20mg</t>
  </si>
  <si>
    <t>Ritodrine 50mg</t>
  </si>
  <si>
    <t>Leuprolide acetate 3.75mg vial</t>
  </si>
  <si>
    <t>Lidocaine 1% 20ml</t>
  </si>
  <si>
    <t>Ranibizumab 10mg/ml</t>
  </si>
  <si>
    <t>Metoclopramide</t>
  </si>
  <si>
    <t>MgSO4 10% 20ml</t>
  </si>
  <si>
    <t>Cefminox sodium 1g</t>
  </si>
  <si>
    <t>Meropenem 500mg</t>
  </si>
  <si>
    <t>Methoxy polyethylene glycol-epoetin β 120mcg</t>
  </si>
  <si>
    <t>Methoxy polyethylene glycol-epoetin β 200mcg</t>
  </si>
  <si>
    <t>Methoxy polyethylene glycol-epoetin β 50mcg</t>
  </si>
  <si>
    <t>Methoxy polyethylene glycol-epoetin β 75mcg</t>
  </si>
  <si>
    <t>Carbachol 0.01% 1.5ml vial</t>
  </si>
  <si>
    <t>Levonorgestrel 52mg/set (20mcg/day)</t>
  </si>
  <si>
    <t>Glycopyrrolate 0.2mg/ml</t>
  </si>
  <si>
    <t>Tropicamide/Phenylephrine oph sol</t>
  </si>
  <si>
    <t>NaCl 40mEq/20ml plastic amp</t>
  </si>
  <si>
    <t>Sulprostone 0.5mg</t>
  </si>
  <si>
    <t>Naloxone 0.4mg</t>
  </si>
  <si>
    <t>Ropivacaine 0.75% 20ml</t>
  </si>
  <si>
    <t>Ramosetron 0.3mg/2ml</t>
  </si>
  <si>
    <t>Darbepoetin alfa 120mcg</t>
  </si>
  <si>
    <t>Esomerazole sodium</t>
  </si>
  <si>
    <t>Nitroglycerin 10mg</t>
  </si>
  <si>
    <t>Nitroprusside 50mg</t>
  </si>
  <si>
    <t>Norepinephrine 10mg/10ml</t>
  </si>
  <si>
    <t>Oxytocin 5iu</t>
  </si>
  <si>
    <t>Amino acids 6% - pamisol</t>
  </si>
  <si>
    <t>Papaverine 30mg</t>
  </si>
  <si>
    <t>Chlorpheniramine</t>
  </si>
  <si>
    <t>Pentastarch 500ml</t>
  </si>
  <si>
    <t>Nicardipine 10mg</t>
  </si>
  <si>
    <t>Haloperidol 5mg/1ml</t>
  </si>
  <si>
    <t>Phenylephrine 10mg inj</t>
  </si>
  <si>
    <t>Physioneal*1.5% 2L 2bag</t>
  </si>
  <si>
    <t>Physioneal*2.5% 2L 2bag</t>
  </si>
  <si>
    <t>Clopidogrel 75mg</t>
  </si>
  <si>
    <t>Methylprednisolone Na succinate 500mg</t>
  </si>
  <si>
    <t>Milrinone 10mg</t>
  </si>
  <si>
    <t>Protamine 50mg</t>
  </si>
  <si>
    <t>Pyridostigmine 5mg</t>
  </si>
  <si>
    <t>Live attenuated human rotavirus</t>
  </si>
  <si>
    <t>5 live reassortant rotaviruses</t>
  </si>
  <si>
    <t>MCT/Soy bean oil/Olive oil/Fish oil 100ml</t>
  </si>
  <si>
    <t>Intralipid 20% 500ml Inj</t>
  </si>
  <si>
    <t>Thiamine inj 50mg/2ml</t>
  </si>
  <si>
    <t>Thrombin 500u vial</t>
  </si>
  <si>
    <t>Atosiban 37.5mg</t>
  </si>
  <si>
    <t>Atosiban6.75mg</t>
  </si>
  <si>
    <t>Triamcinolone 40mg</t>
  </si>
  <si>
    <t>Ceftriaxone 1g</t>
  </si>
  <si>
    <t>ceftriaxone 2g inj</t>
  </si>
  <si>
    <t>Tramadol 50mg/ml</t>
  </si>
  <si>
    <t>Tramadol 100mg</t>
  </si>
  <si>
    <t>Dopamine HCl 400mg</t>
  </si>
  <si>
    <t>Ulinastatin 100,000 IU</t>
  </si>
  <si>
    <t>Vancomycin 500mg</t>
  </si>
  <si>
    <t>Vasopressin 20u</t>
  </si>
  <si>
    <t>Iron Sucrose 100mg/5ml amp</t>
  </si>
  <si>
    <t>Salbutamol inhalation nebule 2.5mg</t>
  </si>
  <si>
    <t>Viscoat* 0.75ml Inj</t>
  </si>
  <si>
    <t>Phytonadione 10mg</t>
  </si>
  <si>
    <t>Cholecalciferol 5 mg</t>
  </si>
  <si>
    <t>Hydroxyethylstarch/Mg/K/Na</t>
  </si>
  <si>
    <t>Paricalcitol 5mcg/ml</t>
  </si>
  <si>
    <t>Goserelin acetate 3.6mg/syringe</t>
  </si>
  <si>
    <t>Aripiprazole 300mg inj</t>
    <phoneticPr fontId="1" type="noConversion"/>
  </si>
  <si>
    <t>Aripiprazole 400mg inj</t>
    <phoneticPr fontId="1" type="noConversion"/>
  </si>
  <si>
    <t>Adenosine 6mg</t>
    <phoneticPr fontId="1" type="noConversion"/>
  </si>
  <si>
    <t>Ambroxol 15mg</t>
    <phoneticPr fontId="1" type="noConversion"/>
  </si>
  <si>
    <t>Esmolol HCl 100mg</t>
    <phoneticPr fontId="1" type="noConversion"/>
  </si>
  <si>
    <t>Esmolol HCl 2.5g</t>
    <phoneticPr fontId="1" type="noConversion"/>
  </si>
  <si>
    <t>Sugammadex 200mg Inj</t>
    <phoneticPr fontId="1" type="noConversion"/>
  </si>
  <si>
    <t>Amino acids 10% - cafsol</t>
    <phoneticPr fontId="1" type="noConversion"/>
  </si>
  <si>
    <t>Cefazolin 1g inj</t>
    <phoneticPr fontId="1" type="noConversion"/>
  </si>
  <si>
    <t>Cefotaxime 1g</t>
    <phoneticPr fontId="1" type="noConversion"/>
  </si>
  <si>
    <t>Amiodarone 150mg</t>
    <phoneticPr fontId="1" type="noConversion"/>
  </si>
  <si>
    <t>HTK solution 1L</t>
    <phoneticPr fontId="1" type="noConversion"/>
  </si>
  <si>
    <t>Misoprostol 200mcg</t>
    <phoneticPr fontId="1" type="noConversion"/>
  </si>
  <si>
    <t>Cholecalciferol 2.5mg</t>
    <phoneticPr fontId="1" type="noConversion"/>
  </si>
  <si>
    <t>Cholecalciferol 7.5mg</t>
    <phoneticPr fontId="1" type="noConversion"/>
  </si>
  <si>
    <t>Dobutamine 250mg Inj</t>
    <phoneticPr fontId="1" type="noConversion"/>
  </si>
  <si>
    <t>DTaP vaccine 0.5ml pfs</t>
    <phoneticPr fontId="1" type="noConversion"/>
  </si>
  <si>
    <t>Levetiracetam 500mg</t>
    <phoneticPr fontId="1" type="noConversion"/>
  </si>
  <si>
    <t>Erythropoetin alpha 2000IU</t>
    <phoneticPr fontId="1" type="noConversion"/>
  </si>
  <si>
    <t>Purified hepatitis B surface antigen protein 10mcg</t>
    <phoneticPr fontId="1" type="noConversion"/>
  </si>
  <si>
    <t>Flumazenil 0.5mg</t>
    <phoneticPr fontId="1" type="noConversion"/>
  </si>
  <si>
    <t>Nafamostat 50mg</t>
    <phoneticPr fontId="1" type="noConversion"/>
  </si>
  <si>
    <t>Heparin sodium 100IU/ml</t>
    <phoneticPr fontId="1" type="noConversion"/>
  </si>
  <si>
    <t>Hyaluronidase 1500IU</t>
    <phoneticPr fontId="1" type="noConversion"/>
  </si>
  <si>
    <t>Paliperidone 410mg(263mg)/1.315ml</t>
    <phoneticPr fontId="1" type="noConversion"/>
  </si>
  <si>
    <t>Paliperidone 546mg(350mg)/1.75ml</t>
    <phoneticPr fontId="1" type="noConversion"/>
  </si>
  <si>
    <t>Paliperidone 819mg(525mg)/2.625ml</t>
    <phoneticPr fontId="1" type="noConversion"/>
  </si>
  <si>
    <t>Inactivated Cell Culture-derived J.E.V</t>
    <phoneticPr fontId="1" type="noConversion"/>
  </si>
  <si>
    <t>Inactivated Cell Culture-derived J.E.Virus</t>
    <phoneticPr fontId="1" type="noConversion"/>
  </si>
  <si>
    <t>KCl 20mEq/20ml plastic amp</t>
    <phoneticPr fontId="1" type="noConversion"/>
  </si>
  <si>
    <t>Leuprolide acetate 11.25mg</t>
    <phoneticPr fontId="1" type="noConversion"/>
  </si>
  <si>
    <t>Leuprolide acetate 3.75mg inj</t>
    <phoneticPr fontId="1" type="noConversion"/>
  </si>
  <si>
    <t>Multivitamin inj 5ml</t>
    <phoneticPr fontId="1" type="noConversion"/>
  </si>
  <si>
    <t>Ascorbic acid 500mg/ml</t>
    <phoneticPr fontId="1" type="noConversion"/>
  </si>
  <si>
    <t>MMR virus vaccine 0.5ml</t>
    <phoneticPr fontId="1" type="noConversion"/>
  </si>
  <si>
    <t>Acetylcysteine 300mg inj</t>
    <phoneticPr fontId="1" type="noConversion"/>
  </si>
  <si>
    <t>Normal saline 100ml+KCl 20mEq</t>
    <phoneticPr fontId="1" type="noConversion"/>
  </si>
  <si>
    <t>Testosterone undecanoate 1000mg/4ml</t>
    <phoneticPr fontId="1" type="noConversion"/>
  </si>
  <si>
    <t>Amino acid - nephsol</t>
    <phoneticPr fontId="1" type="noConversion"/>
  </si>
  <si>
    <t>Nimodipine 10mg</t>
    <phoneticPr fontId="1" type="noConversion"/>
  </si>
  <si>
    <t>Pantoprazole 40mg inj.</t>
    <phoneticPr fontId="1" type="noConversion"/>
  </si>
  <si>
    <t>DTPPHIB vaccine inj</t>
    <phoneticPr fontId="1" type="noConversion"/>
  </si>
  <si>
    <t>Plasma solution A 1L bag</t>
    <phoneticPr fontId="1" type="noConversion"/>
  </si>
  <si>
    <t>Pneumococcal vaccine-13</t>
    <phoneticPr fontId="1" type="noConversion"/>
  </si>
  <si>
    <t>denosumab 60㎎</t>
    <phoneticPr fontId="1" type="noConversion"/>
  </si>
  <si>
    <t>Hyaluronate sodium 60mg(BDDE-linked)</t>
    <phoneticPr fontId="1" type="noConversion"/>
  </si>
  <si>
    <t>Piperacillin sod 4g/Tazobactam 0.5g</t>
    <phoneticPr fontId="1" type="noConversion"/>
  </si>
  <si>
    <t>Diphtheria/Tetanus Vaccine</t>
    <phoneticPr fontId="1" type="noConversion"/>
  </si>
  <si>
    <t>Testosterone enanthate 250mg/ml</t>
    <phoneticPr fontId="1" type="noConversion"/>
  </si>
  <si>
    <t>Tuberculin PPD</t>
    <phoneticPr fontId="1" type="noConversion"/>
  </si>
  <si>
    <t>Vancomycin 1g*</t>
    <phoneticPr fontId="1" type="noConversion"/>
  </si>
  <si>
    <t>H.influenzae B comb. with toxoids</t>
    <phoneticPr fontId="1" type="noConversion"/>
  </si>
  <si>
    <t>Vecuronium bromide 10mg</t>
    <phoneticPr fontId="1" type="noConversion"/>
  </si>
  <si>
    <t>Ascorbic acid 500mg/2ml  inj</t>
  </si>
  <si>
    <t>XROCU50</t>
  </si>
  <si>
    <t>XHYOS2Y</t>
  </si>
  <si>
    <t>Hyspan 20mg inj</t>
  </si>
  <si>
    <t>Verapamil 5mg inj</t>
    <phoneticPr fontId="1" type="noConversion"/>
  </si>
  <si>
    <t>Lidocaine 2% 20mg/ml</t>
  </si>
  <si>
    <t>Mannitol(D-) 20% 100ml</t>
  </si>
  <si>
    <t>Acetylcysteine 20% 4ml sol</t>
  </si>
  <si>
    <t>Budesonide nebulizer 0.5mg/2ml amp</t>
  </si>
  <si>
    <t>XNB84</t>
  </si>
  <si>
    <t>NaHCO3 8.4% 20ml amp</t>
  </si>
  <si>
    <t>Acetaminophen ER 650mg</t>
  </si>
  <si>
    <t>10VIA/BOX</t>
  </si>
  <si>
    <t>ACYST-A</t>
    <phoneticPr fontId="1" type="noConversion"/>
  </si>
  <si>
    <t>50AMP/BOX</t>
  </si>
  <si>
    <t>120TAB/BTL</t>
  </si>
  <si>
    <t>30AMP/BOX</t>
  </si>
  <si>
    <t>5AMP/BOX</t>
  </si>
  <si>
    <t>100AMP/BOX</t>
  </si>
  <si>
    <t>10AMP/BOX</t>
  </si>
  <si>
    <t>1SRG/BOX</t>
  </si>
  <si>
    <t>1VIAL/BOX</t>
  </si>
  <si>
    <t>6VIAL/BOX</t>
  </si>
  <si>
    <t>1VIAL</t>
  </si>
  <si>
    <t>20BTL/BOX</t>
  </si>
  <si>
    <t>5vial/BOX</t>
  </si>
  <si>
    <t>1500TAB/BOX</t>
  </si>
  <si>
    <t>20AMP/BOX*54</t>
  </si>
  <si>
    <t>30TAB/BOX</t>
  </si>
  <si>
    <t>10SRG/BOX</t>
  </si>
  <si>
    <t>20VIA/BOX</t>
  </si>
  <si>
    <t>10VIAL/BOX</t>
  </si>
  <si>
    <t>10 VIAL/BOX</t>
  </si>
  <si>
    <t>500ML/BTL</t>
  </si>
  <si>
    <t>10BTL/BOX*10</t>
  </si>
  <si>
    <t>20BAG/BOX</t>
  </si>
  <si>
    <t>6AMP/BOX</t>
  </si>
  <si>
    <t>50VIAL/BOX</t>
  </si>
  <si>
    <t>6BAG/BOX</t>
  </si>
  <si>
    <t>2AMP/BOX</t>
  </si>
  <si>
    <t>10 AMP/BOX</t>
  </si>
  <si>
    <t>30BAG/BOX</t>
  </si>
  <si>
    <t>50PILL/BOX</t>
  </si>
  <si>
    <t>10vial/BOX</t>
  </si>
  <si>
    <t>6SRG/BOX</t>
  </si>
  <si>
    <t>6SRG/BOX*16</t>
  </si>
  <si>
    <t>1BAG</t>
  </si>
  <si>
    <t>10AMP/BOX*10</t>
  </si>
  <si>
    <t>10BTL/BOX</t>
  </si>
  <si>
    <t>1ML/SRG</t>
  </si>
  <si>
    <t>1.5ML/SRG</t>
  </si>
  <si>
    <t>1 VIAL/BOX</t>
  </si>
  <si>
    <t>1 SRG/BOX</t>
  </si>
  <si>
    <t>1VIAL/VIAL</t>
  </si>
  <si>
    <t>25VIA/BOX</t>
  </si>
  <si>
    <t>50BAG/BOX</t>
  </si>
  <si>
    <t>5VIAL/BOX</t>
  </si>
  <si>
    <t>10VIA/BOX*45</t>
  </si>
  <si>
    <t>12VIA/BOX</t>
  </si>
  <si>
    <t>1EA/SET*5</t>
  </si>
  <si>
    <t>10ML/BTL</t>
  </si>
  <si>
    <t>3AMP/BOX</t>
  </si>
  <si>
    <t>5AMP/BOX*5</t>
  </si>
  <si>
    <t>4ML/VIAL/BOX</t>
  </si>
  <si>
    <t>40MG/VIAL*10*12</t>
  </si>
  <si>
    <t>1VIAL/BOX*10</t>
  </si>
  <si>
    <t>X6PAMI5</t>
  </si>
  <si>
    <t>Pamisol 6% 500ml inj</t>
  </si>
  <si>
    <t>10BAG/BOX</t>
  </si>
  <si>
    <t>0.5ml/SRG</t>
  </si>
  <si>
    <t>100TAB/BTL</t>
  </si>
  <si>
    <t>1SRG</t>
  </si>
  <si>
    <t>2ML*10TUB/BOX</t>
  </si>
  <si>
    <t>X20SMOF1</t>
  </si>
  <si>
    <t>SMOFlipid 20% 100ml Inj</t>
  </si>
  <si>
    <t>10 BTL/BOX</t>
  </si>
  <si>
    <t>10VIA/BOX*20</t>
  </si>
  <si>
    <t>500TAB/BTL</t>
  </si>
  <si>
    <t>10VIAL/BOX*56</t>
  </si>
  <si>
    <t>1 AMP/BOX</t>
  </si>
  <si>
    <t>20bag/box</t>
  </si>
  <si>
    <t>no</t>
    <phoneticPr fontId="1" type="noConversion"/>
  </si>
  <si>
    <t>NO</t>
    <phoneticPr fontId="1" type="noConversion"/>
  </si>
  <si>
    <t>NO</t>
    <phoneticPr fontId="1" type="noConversion"/>
  </si>
  <si>
    <t>NO</t>
    <phoneticPr fontId="1" type="noConversion"/>
  </si>
  <si>
    <t>NO</t>
    <phoneticPr fontId="1" type="noConversion"/>
  </si>
  <si>
    <t>XTRIPTO11</t>
    <phoneticPr fontId="1" type="noConversion"/>
  </si>
  <si>
    <t>Triptorelin 11.25mg</t>
    <phoneticPr fontId="1" type="noConversion"/>
  </si>
  <si>
    <t>Diphereline PR 11.25mg inj</t>
  </si>
  <si>
    <t>1VIAL</t>
    <phoneticPr fontId="1" type="noConversion"/>
  </si>
  <si>
    <t>보관조건</t>
    <phoneticPr fontId="1" type="noConversion"/>
  </si>
  <si>
    <t>밀봉용기, 실온(1∼30℃)보관</t>
  </si>
  <si>
    <t>냉장 차광보관</t>
    <phoneticPr fontId="1" type="noConversion"/>
  </si>
  <si>
    <t>기밀용기, 25℃이하 보관</t>
  </si>
  <si>
    <t>밀봉용기, 2-8℃에서 보관</t>
  </si>
  <si>
    <t>차광 밀봉용기, 실온보관(1~30℃)</t>
  </si>
  <si>
    <t>밀봉용기, 실온(1-30℃) 보관, 빛을 피하여 보관</t>
  </si>
  <si>
    <t>밀봉용기, 실온(1～30℃)보관</t>
  </si>
  <si>
    <t>밀봉용기</t>
  </si>
  <si>
    <t>밀봉용기, 30℃이하에서 동결을 피하여 보관</t>
  </si>
  <si>
    <t>실온(1∼30℃)보관, 밀봉용기, 빛을 피하여 보관</t>
  </si>
  <si>
    <t>차광밀봉용기, 실온(1~30℃)보관</t>
  </si>
  <si>
    <t>차광한 밀봉용기</t>
  </si>
  <si>
    <t>차광밀봉용기,실온(1~30℃)보관</t>
  </si>
  <si>
    <t>기밀용기, 실온(25℃이하)보관</t>
  </si>
  <si>
    <t>차광밀봉용기, 실온(1-30℃)보관</t>
  </si>
  <si>
    <t>밀봉용기, 실온보관</t>
  </si>
  <si>
    <t>실온, 차광보관, 밀봉용기</t>
  </si>
  <si>
    <t>차광밀봉용기, 상온보관</t>
  </si>
  <si>
    <t>밀봉용기, 실온(1-30℃)보관</t>
  </si>
  <si>
    <t>실온보관</t>
  </si>
  <si>
    <t>차광한 밀봉용기, 실온(1~30℃)보관</t>
  </si>
  <si>
    <t>2∼30℃보관, 차광보관, 밀봉용기</t>
  </si>
  <si>
    <t>밀봉용기, 실온(1~30℃)보관</t>
  </si>
  <si>
    <t>2 ~ 25℃ 보관, 밀봉용기</t>
  </si>
  <si>
    <t>2℃ - 25℃ 보관, 밀봉용기</t>
  </si>
  <si>
    <t>밀봉용기에 넣어 실온에 보관</t>
  </si>
  <si>
    <t>밀봉용기, 실온(1 - 30℃)보관</t>
  </si>
  <si>
    <t>기밀용기, 실온(1~30℃)보관</t>
  </si>
  <si>
    <t>밀봉용기, 실온보관(1~30℃)</t>
  </si>
  <si>
    <t>밀봉용기, 차광하여 실온(1~30℃)보관</t>
  </si>
  <si>
    <t>밀봉용기, 25도씨에서 차광보관</t>
  </si>
  <si>
    <t>밀봉용기, 15-30℃보관</t>
  </si>
  <si>
    <t>밀봉용기, 냉장보관(2~8℃)</t>
  </si>
  <si>
    <t>차광밀봉용기, 실온(1 ~ 30℃)보관</t>
  </si>
  <si>
    <t>기밀용기, 실온보관(1-30℃)</t>
  </si>
  <si>
    <t>밀봉용기, 차광하여 실온(1~30℃) 보관</t>
  </si>
  <si>
    <t>차광밀봉용기, 1~25℃보관</t>
  </si>
  <si>
    <t>차광한 밀봉용기, 실온(1 ~ 30℃) 보관</t>
  </si>
  <si>
    <t>밀봉용기, 25℃이하 보관</t>
  </si>
  <si>
    <t>밀봉용기, 상온(15 ~ 25℃)보관</t>
  </si>
  <si>
    <t>밀봉용기, 25℃이하에서 보관</t>
  </si>
  <si>
    <t>밀봉용기, 2-8℃에서 동결을 피하여 보관</t>
  </si>
  <si>
    <t>차광한 밀봉용기, 실온(1～30℃)보관,</t>
  </si>
  <si>
    <t>차광밀봉용기, 25℃이하 보관, 냉장보관하지 말 것.</t>
  </si>
  <si>
    <t>밀봉용기, 2-8℃보관</t>
  </si>
  <si>
    <t>밀봉용기, 차광하여 25℃이하 실온보관</t>
  </si>
  <si>
    <t>밀봉용기,실온(1~30℃)보관</t>
  </si>
  <si>
    <t>실온보관 밀봉용기</t>
  </si>
  <si>
    <t>밀봉용기, 30℃이하 보관</t>
  </si>
  <si>
    <t>차광, 밀봉용기, 실온(1-30℃)보관</t>
  </si>
  <si>
    <t>밀봉용기, 2∼8℃에서 냉장보관, 얼리지 말 것, 차광</t>
  </si>
  <si>
    <t>밀봉용기, 실온보존</t>
  </si>
  <si>
    <t>밀봉용기, 실온보존(1～30℃)</t>
  </si>
  <si>
    <t>밀봉용기, 냉장(2~8℃) 보관</t>
  </si>
  <si>
    <t>밀봉용기, 실온보관(15~30℃)</t>
  </si>
  <si>
    <t>밀봉용기, 실온(15~30℃)보관</t>
  </si>
  <si>
    <t>차광용기, 실온보관</t>
  </si>
  <si>
    <t>밀봉용기, 차광하여 2~8℃에서 냉장보관</t>
  </si>
  <si>
    <t>차광밀봉용기, 실온보관</t>
  </si>
  <si>
    <t>밀봉용기 실온보관 차광.</t>
  </si>
  <si>
    <t>밀봉용기, 실온(1~30℃)보관,</t>
  </si>
  <si>
    <t>밀봉용기,실온보관(1~30℃)</t>
  </si>
  <si>
    <t>기밀용기에 넣어 차광냉소보관</t>
  </si>
  <si>
    <t>밀봉용기, 차광, 실온(1~30℃)보관</t>
  </si>
  <si>
    <t>차광밀봉용기, 2∼8℃ 보관</t>
  </si>
  <si>
    <t>실온보관, 밀봉용기</t>
  </si>
  <si>
    <t>밀봉용기 2 ~ 8℃에서 보관</t>
  </si>
  <si>
    <t>기밀용기,실온에서 차광보존</t>
  </si>
  <si>
    <t>기밀용기, 실온보관(1~30℃)</t>
  </si>
  <si>
    <t>밀봉용기, 차광보존</t>
  </si>
  <si>
    <t>밀봉용기, 실온보관.</t>
  </si>
  <si>
    <t>밀봉용기, 차광보존, 실온(1~30℃)보관</t>
  </si>
  <si>
    <t>차광밀봉용기, 실온(1-30℃) 보관</t>
  </si>
  <si>
    <t>밀봉용기, 실온(1∼30℃) 보관</t>
  </si>
  <si>
    <t>밀봉용기, 2～8℃ 차광보관, 동결시키거나 진탕하지 말 것</t>
  </si>
  <si>
    <t>밀봉용기, 차광하여 30℃이하 보관</t>
  </si>
  <si>
    <t>20～25℃, 차광보관</t>
  </si>
  <si>
    <t>차광밀봉용기, 실온보관(1-30)</t>
  </si>
  <si>
    <t>밀봉용기, 냉소보관(10℃이하)</t>
  </si>
  <si>
    <t>밀봉용기에 넣어 실온에 저장</t>
  </si>
  <si>
    <t>차광밀봉용기, 25℃ 이하</t>
  </si>
  <si>
    <t>차광, 밀봉용기, 실온보관(1∼30℃)</t>
  </si>
  <si>
    <t>밀봉용기, 25℃이하,</t>
  </si>
  <si>
    <t>동결을 피하여 2～8℃에 냉장보관, 밀봉용기</t>
  </si>
  <si>
    <t>차광,실온보관</t>
  </si>
  <si>
    <t>밀봉용기, 차광하여 실온보관</t>
  </si>
  <si>
    <t>밀봉용기, 동결하지 않고 25℃이하에서 보관</t>
  </si>
  <si>
    <t>차광 밀봉용기(15-30℃ 보관)</t>
  </si>
  <si>
    <t>밀봉용기, 동결을 피하여 냉장보관(2-8℃)</t>
  </si>
  <si>
    <t>밀봉용기,실온.차광보관</t>
  </si>
  <si>
    <t>차광한 밀봉용기, 15~30℃보관</t>
  </si>
  <si>
    <t>밀봉용기, 동결을 피하여 차광, 냉장(2~8℃) 보관</t>
  </si>
  <si>
    <t>밀봉, 차광보관</t>
  </si>
  <si>
    <t>2~8℃ 냉장 보관</t>
  </si>
  <si>
    <t>밀봉용기, 2∼8℃에서 차광보관</t>
  </si>
  <si>
    <t>밀봉용기, 1-25℃에서 보관</t>
  </si>
  <si>
    <t>밀봉용기, 냉장(2~8℃)보관</t>
  </si>
  <si>
    <t>밀봉용기, 차광 실온(1~30℃) 보관</t>
  </si>
  <si>
    <t>밀봉용기, 실온보관(1-30℃)</t>
  </si>
  <si>
    <t>밀봉용기, 실온(1-30℃) 보관</t>
  </si>
  <si>
    <t>2-8℃에서 얼리지 말고 보관</t>
  </si>
  <si>
    <t>차광밀봉용기, 25℃ 미만 실온 보관</t>
  </si>
  <si>
    <t>차광밀봉용기, 실온(1∼30℃)보관,</t>
  </si>
  <si>
    <t>밀봉용기 2~8도씨</t>
  </si>
  <si>
    <t>밀봉용기, 냉장보관(2-8℃)</t>
  </si>
  <si>
    <t>밀폐용기 실온보관</t>
  </si>
  <si>
    <t>동결을 피하여 냉소보존(15℃이하), 밀봉용기</t>
  </si>
  <si>
    <t>밀봉용기, 동결을 피하여 2～8℃에서 보관</t>
  </si>
  <si>
    <t>밀봉용기 25℃ 이하에서 보관</t>
  </si>
  <si>
    <t>밀봉용기, 25℃이하 암소보관.</t>
  </si>
  <si>
    <t>기밀용기, 30℃이하 차광보관</t>
  </si>
  <si>
    <t>2-8℃에서 기밀용기</t>
  </si>
  <si>
    <t>밀봉용기, 차광하여 1~ 25℃에서 보관</t>
  </si>
  <si>
    <t>밀봉용기, 25℃ 이하</t>
  </si>
  <si>
    <t>밀봉용기,실온(30℃이하 보관)</t>
  </si>
  <si>
    <t>밀봉용기, 25℃이하 실온보관</t>
  </si>
  <si>
    <t>보관조건</t>
    <phoneticPr fontId="1" type="noConversion"/>
  </si>
  <si>
    <t>밀봉용기, 2-8℃에서 냉장보관</t>
    <phoneticPr fontId="1" type="noConversion"/>
  </si>
  <si>
    <t>앰플: 밀봉용기, 실온(1 ∼30℃)보관</t>
    <phoneticPr fontId="1" type="noConversion"/>
  </si>
  <si>
    <t>10℃이하 차광보관 동결을 피할것 밀봉용기</t>
    <phoneticPr fontId="1" type="noConversion"/>
  </si>
  <si>
    <t>차광밀봉용기, 실온(1~30℃)보관</t>
    <phoneticPr fontId="1" type="noConversion"/>
  </si>
  <si>
    <t>차광밀봉용기, 30도 이하 보관</t>
    <phoneticPr fontId="1" type="noConversion"/>
  </si>
  <si>
    <t>밀봉용기</t>
    <phoneticPr fontId="1" type="noConversion"/>
  </si>
  <si>
    <t>포장을 개봉하지 않은 상태로 습기차단/차광 30℃이하</t>
    <phoneticPr fontId="1" type="noConversion"/>
  </si>
  <si>
    <t xml:space="preserve">밀봉용기, 차광 실온(1~30℃)보관 </t>
    <phoneticPr fontId="1" type="noConversion"/>
  </si>
  <si>
    <t>2-8℃ 차광보관/개봉후 2-8℃ 보관하고 24시간 이내 사용</t>
    <phoneticPr fontId="1" type="noConversion"/>
  </si>
  <si>
    <t xml:space="preserve">밀봉용기, 실온보관 </t>
    <phoneticPr fontId="1" type="noConversion"/>
  </si>
  <si>
    <t>Cefazolin 1g inj</t>
    <phoneticPr fontId="1" type="noConversion"/>
  </si>
  <si>
    <t>보관조건</t>
    <phoneticPr fontId="1" type="noConversion"/>
  </si>
  <si>
    <t>보관조건</t>
    <phoneticPr fontId="1" type="noConversion"/>
  </si>
  <si>
    <t>보관조건</t>
    <phoneticPr fontId="1" type="noConversion"/>
  </si>
  <si>
    <t>보관조건</t>
    <phoneticPr fontId="1" type="noConversion"/>
  </si>
  <si>
    <t>보관조건</t>
    <phoneticPr fontId="1" type="noConversion"/>
  </si>
  <si>
    <t>보관조건</t>
    <phoneticPr fontId="1" type="noConversion"/>
  </si>
  <si>
    <t>XCTOC100R</t>
    <phoneticPr fontId="1" type="noConversion"/>
  </si>
  <si>
    <t>Duratocin RTS 100mcg inj</t>
    <phoneticPr fontId="1" type="noConversion"/>
  </si>
  <si>
    <t>5VIA/BOX</t>
    <phoneticPr fontId="1" type="noConversion"/>
  </si>
  <si>
    <t>밀봉용기, 차광하여 실온(1~30℃)보관, 얼리지 말 것</t>
  </si>
  <si>
    <t>Taurolin 2% 250ml inj.</t>
  </si>
  <si>
    <t>밀봉용기,상온보관</t>
  </si>
  <si>
    <t>10btl/box</t>
    <phoneticPr fontId="1" type="noConversion"/>
  </si>
  <si>
    <t>101W</t>
    <phoneticPr fontId="1" type="noConversion"/>
  </si>
  <si>
    <t>XXHBV20W</t>
  </si>
  <si>
    <t>Euvax-B 20mcg pfs</t>
    <phoneticPr fontId="1" type="noConversion"/>
  </si>
  <si>
    <t>Hepatitis B vaccine 20mcg pfs</t>
  </si>
  <si>
    <t>10SRG/BOX</t>
    <phoneticPr fontId="1" type="noConversion"/>
  </si>
  <si>
    <t>XDEXMED2B</t>
    <phoneticPr fontId="1" type="noConversion"/>
  </si>
  <si>
    <t>Dexmedetomidine 199mcg</t>
  </si>
  <si>
    <t>Precedex 200mcg/50ml premix inj</t>
    <phoneticPr fontId="1" type="noConversion"/>
  </si>
  <si>
    <t>20vial/box</t>
    <phoneticPr fontId="1" type="noConversion"/>
  </si>
  <si>
    <t>유사발음</t>
    <phoneticPr fontId="1" type="noConversion"/>
  </si>
  <si>
    <t>Aflibercept  11.12mg</t>
    <phoneticPr fontId="1" type="noConversion"/>
  </si>
  <si>
    <t>1VIA</t>
    <phoneticPr fontId="1" type="noConversion"/>
  </si>
  <si>
    <t>XBPCA.5H4W</t>
  </si>
  <si>
    <t>Bupivacaine hydrochloride 20mg</t>
  </si>
  <si>
    <t>Marcaine heavy 20mg/4ml inj</t>
  </si>
  <si>
    <t>5amp/box</t>
    <phoneticPr fontId="1" type="noConversion"/>
  </si>
  <si>
    <t>밀봉용기.실온보관</t>
  </si>
  <si>
    <t>XAPH1</t>
    <phoneticPr fontId="1" type="noConversion"/>
  </si>
  <si>
    <t>Acetaminophen 1g/100ml</t>
  </si>
  <si>
    <t>Acetphen 1g/100ml premix inj</t>
  </si>
  <si>
    <t>1bag</t>
    <phoneticPr fontId="1" type="noConversion"/>
  </si>
  <si>
    <t>실온보관(1~30℃), 밀봉용기</t>
  </si>
  <si>
    <t>BCG-H</t>
    <phoneticPr fontId="1" type="noConversion"/>
  </si>
  <si>
    <t>Freeze-dried glutamate BCG vac for percutaneous</t>
  </si>
  <si>
    <t>BCG vac.percutaneous 12mg/1.5ml</t>
  </si>
  <si>
    <t>1amp</t>
    <phoneticPr fontId="1" type="noConversion"/>
  </si>
  <si>
    <t>밀봉용기, 10℃이하 보관</t>
  </si>
  <si>
    <t>Darbepoetin alfa 60mcg</t>
  </si>
  <si>
    <t>112W</t>
    <phoneticPr fontId="1" type="noConversion"/>
  </si>
  <si>
    <t>NO</t>
    <phoneticPr fontId="1" type="noConversion"/>
  </si>
  <si>
    <t>보유비품약 품목수</t>
    <phoneticPr fontId="1" type="noConversion"/>
  </si>
  <si>
    <t>XKPHMB</t>
    <phoneticPr fontId="1" type="noConversion"/>
  </si>
  <si>
    <t>50AMP/BOX</t>
    <phoneticPr fontId="1" type="noConversion"/>
  </si>
  <si>
    <t>밀봉용기, 15-30℃에서 보관</t>
  </si>
  <si>
    <t>X2TAUR2</t>
    <phoneticPr fontId="1" type="noConversion"/>
  </si>
  <si>
    <t>Multivitamins</t>
    <phoneticPr fontId="1" type="noConversion"/>
  </si>
  <si>
    <t>Taurolidine 2% 250ml</t>
    <phoneticPr fontId="1" type="noConversion"/>
  </si>
  <si>
    <t>Potassium phosphate monobasic 20ml inj</t>
    <phoneticPr fontId="1" type="noConversion"/>
  </si>
  <si>
    <t>Phosten 20ml inj</t>
    <phoneticPr fontId="1" type="noConversion"/>
  </si>
  <si>
    <t>Esomerazole sodium</t>
    <phoneticPr fontId="1" type="noConversion"/>
  </si>
  <si>
    <t>BSS*</t>
    <phoneticPr fontId="1" type="noConversion"/>
  </si>
  <si>
    <t>밀봉용기, 동결을 피하여 2～8℃에서 차광보관</t>
  </si>
  <si>
    <t>Hepatitis A vaccine 80U</t>
  </si>
  <si>
    <t>Hepatitis A vaccine 160U</t>
  </si>
  <si>
    <t>Avaxim 160u(adult) inj</t>
  </si>
  <si>
    <t>밀봉용기, 동결을 피하여 2∼8℃에서 차광보관</t>
  </si>
  <si>
    <t>이비인후과</t>
    <phoneticPr fontId="1" type="noConversion"/>
  </si>
  <si>
    <t>XXRANIB1</t>
    <phoneticPr fontId="1" type="noConversion"/>
  </si>
  <si>
    <t>Ranibizumab 1.65mg</t>
    <phoneticPr fontId="1" type="noConversion"/>
  </si>
  <si>
    <t>Lucentis 1.65mg/0.165ml PFS</t>
    <phoneticPr fontId="1" type="noConversion"/>
  </si>
  <si>
    <t>냉장보관(2-8℃), 동결을 피할 것, 차광을 위하여 원포장을 유지할 것</t>
  </si>
  <si>
    <t>XHINFB5</t>
    <phoneticPr fontId="1" type="noConversion"/>
  </si>
  <si>
    <t>euHIB 0.5ml inj</t>
    <phoneticPr fontId="1" type="noConversion"/>
  </si>
  <si>
    <t>10 SRG/BOX</t>
    <phoneticPr fontId="1" type="noConversion"/>
  </si>
  <si>
    <t>XXHAV.5W</t>
    <phoneticPr fontId="1" type="noConversion"/>
  </si>
  <si>
    <t>Vaqta 0.5ml pfs(ped)-25IU</t>
    <phoneticPr fontId="1" type="noConversion"/>
  </si>
  <si>
    <t>XVARICVS</t>
    <phoneticPr fontId="1" type="noConversion"/>
  </si>
  <si>
    <t>VARICELAZOSTER</t>
    <phoneticPr fontId="1" type="noConversion"/>
  </si>
  <si>
    <t>Sky Varicella 0.5ml inj</t>
    <phoneticPr fontId="1" type="noConversion"/>
  </si>
  <si>
    <t>5VIAL/BOX</t>
    <phoneticPr fontId="1" type="noConversion"/>
  </si>
  <si>
    <t>XXDT5</t>
    <phoneticPr fontId="1" type="noConversion"/>
  </si>
  <si>
    <t>TD vaccine (GC) 0.5ml/srg</t>
    <phoneticPr fontId="1" type="noConversion"/>
  </si>
  <si>
    <t>Cordarone 150mg/3ml inj</t>
  </si>
  <si>
    <t>XCZOL1X</t>
  </si>
  <si>
    <t>XCZEDO2G</t>
    <phoneticPr fontId="1" type="noConversion"/>
  </si>
  <si>
    <t>XGM80</t>
    <phoneticPr fontId="1" type="noConversion"/>
  </si>
  <si>
    <t>XHYOS2Y</t>
    <phoneticPr fontId="1" type="noConversion"/>
  </si>
  <si>
    <t>XNTPRUS</t>
    <phoneticPr fontId="1" type="noConversion"/>
  </si>
  <si>
    <t>XPAPA</t>
    <phoneticPr fontId="1" type="noConversion"/>
  </si>
  <si>
    <t>X1PHY2</t>
    <phoneticPr fontId="1" type="noConversion"/>
  </si>
  <si>
    <t>XVANCO</t>
  </si>
  <si>
    <t>XNaK20</t>
    <phoneticPr fontId="1" type="noConversion"/>
  </si>
  <si>
    <t>소화기병검사실</t>
    <phoneticPr fontId="1" type="noConversion"/>
  </si>
  <si>
    <t>XCMTAZ</t>
    <phoneticPr fontId="1" type="noConversion"/>
  </si>
  <si>
    <t>cefmetazole 1g inj</t>
    <phoneticPr fontId="1" type="noConversion"/>
  </si>
  <si>
    <t>Ceftacin 1g inj</t>
    <phoneticPr fontId="1" type="noConversion"/>
  </si>
  <si>
    <t>11VIA/BOX</t>
  </si>
  <si>
    <t>밀봉용기, 실온보관</t>
    <phoneticPr fontId="1" type="noConversion"/>
  </si>
  <si>
    <t>XXPOLI5W</t>
    <phoneticPr fontId="1" type="noConversion"/>
  </si>
  <si>
    <t>IPVAX 0.5ml inj</t>
  </si>
  <si>
    <t>Poliovirus vaccine</t>
  </si>
  <si>
    <t>5SRG/BOX</t>
    <phoneticPr fontId="1" type="noConversion"/>
  </si>
  <si>
    <t>밀봉용기, 2~8°C 보관</t>
    <phoneticPr fontId="1" type="noConversion"/>
  </si>
  <si>
    <t>밀봉용기, 10℃ 이하 보관</t>
    <phoneticPr fontId="1" type="noConversion"/>
  </si>
  <si>
    <t>XNICORA</t>
    <phoneticPr fontId="1" type="noConversion"/>
  </si>
  <si>
    <t>nicorandil 48mg</t>
    <phoneticPr fontId="1" type="noConversion"/>
  </si>
  <si>
    <t>Sigmart 48mg inj</t>
    <phoneticPr fontId="1" type="noConversion"/>
  </si>
  <si>
    <t>10VIAL/BOX</t>
    <phoneticPr fontId="1" type="noConversion"/>
  </si>
  <si>
    <t>Darbepoetin alfa 20mcg</t>
    <phoneticPr fontId="1" type="noConversion"/>
  </si>
  <si>
    <t>Darbepoetin alfa 30mcg</t>
    <phoneticPr fontId="1" type="noConversion"/>
  </si>
  <si>
    <t>Darbepoetin alfa 40mcg</t>
    <phoneticPr fontId="1" type="noConversion"/>
  </si>
  <si>
    <t>밀봉용기, 차광하여 2~8℃에서 냉장보관</t>
    <phoneticPr fontId="1" type="noConversion"/>
  </si>
  <si>
    <t xml:space="preserve">XHURON1 </t>
    <phoneticPr fontId="1" type="noConversion"/>
  </si>
  <si>
    <t>sodium hyaluronate 10㎎/㎖</t>
    <phoneticPr fontId="1" type="noConversion"/>
  </si>
  <si>
    <t>Provisc 0.85ml inj</t>
    <phoneticPr fontId="1" type="noConversion"/>
  </si>
  <si>
    <t>1SRG/BOX</t>
    <phoneticPr fontId="1" type="noConversion"/>
  </si>
  <si>
    <t>밀봉용기, 차광냉장보관(2 - 8℃)</t>
    <phoneticPr fontId="1" type="noConversion"/>
  </si>
  <si>
    <t>차광밀봉용기, 냉장(2~8℃)보관</t>
    <phoneticPr fontId="1" type="noConversion"/>
  </si>
  <si>
    <t>Bonviva inj 3mg/3ml (PFS)</t>
    <phoneticPr fontId="1" type="noConversion"/>
  </si>
  <si>
    <t>1PFS</t>
    <phoneticPr fontId="1" type="noConversion"/>
  </si>
  <si>
    <t>RH-tissue-type plasminogen activator</t>
    <phoneticPr fontId="1" type="noConversion"/>
  </si>
  <si>
    <t>기밀용기, 실온(1∼30℃)보관</t>
    <phoneticPr fontId="1" type="noConversion"/>
  </si>
  <si>
    <t>nicardipine hydrochloride 20㎎/20㎖</t>
  </si>
  <si>
    <t xml:space="preserve">Nicardipine inj (HUONS) </t>
    <phoneticPr fontId="1" type="noConversion"/>
  </si>
  <si>
    <t>차광하여 밀봉용기에 보관, 실온(1~30℃)보관</t>
    <phoneticPr fontId="1" type="noConversion"/>
  </si>
  <si>
    <t>50AMP/BOX</t>
    <phoneticPr fontId="1" type="noConversion"/>
  </si>
  <si>
    <t>XTRANEX5</t>
    <phoneticPr fontId="1" type="noConversion"/>
  </si>
  <si>
    <t>tranexamic acid 500㎎/5㎖</t>
    <phoneticPr fontId="1" type="noConversion"/>
  </si>
  <si>
    <t>Tranexamic acid inj 500mg/5ml</t>
    <phoneticPr fontId="1" type="noConversion"/>
  </si>
  <si>
    <t>50AMP/BOX</t>
    <phoneticPr fontId="1" type="noConversion"/>
  </si>
  <si>
    <t>밀봉용기, 실온(1～30℃)보관</t>
    <phoneticPr fontId="1" type="noConversion"/>
  </si>
  <si>
    <t>XDILT</t>
    <phoneticPr fontId="1" type="noConversion"/>
  </si>
  <si>
    <t>Tridol 50mg inj</t>
    <phoneticPr fontId="1" type="noConversion"/>
  </si>
  <si>
    <t>Tridol 50mg inj</t>
    <phoneticPr fontId="1" type="noConversion"/>
  </si>
  <si>
    <t>밀봉용기, 실온(1～30℃)보관</t>
    <phoneticPr fontId="1" type="noConversion"/>
  </si>
  <si>
    <t>밀봉용기, 실온(1～30℃)보관</t>
    <phoneticPr fontId="1" type="noConversion"/>
  </si>
  <si>
    <t>XFLUMA3</t>
    <phoneticPr fontId="1" type="noConversion"/>
  </si>
  <si>
    <t>XTRAM50</t>
    <phoneticPr fontId="1" type="noConversion"/>
  </si>
  <si>
    <t>nefopam hydrochloride 20㎎/2㎖</t>
    <phoneticPr fontId="1" type="noConversion"/>
  </si>
  <si>
    <t>XNEFOP20</t>
    <phoneticPr fontId="1" type="noConversion"/>
  </si>
  <si>
    <t>XNEFOP20</t>
    <phoneticPr fontId="1" type="noConversion"/>
  </si>
  <si>
    <t>Acupan 20mg/2mL inj</t>
    <phoneticPr fontId="1" type="noConversion"/>
  </si>
  <si>
    <t>Acupan 20mg/2mL inj</t>
    <phoneticPr fontId="1" type="noConversion"/>
  </si>
  <si>
    <t>밀봉용기, 실온(1～30℃)보관</t>
    <phoneticPr fontId="1" type="noConversion"/>
  </si>
  <si>
    <t>20AMP/BOX</t>
    <phoneticPr fontId="1" type="noConversion"/>
  </si>
  <si>
    <t>동결을 피하여 2∼8℃에서 보관</t>
    <phoneticPr fontId="1" type="noConversion"/>
  </si>
  <si>
    <t>NaKCl (20meq/100ml)</t>
    <phoneticPr fontId="1" type="noConversion"/>
  </si>
  <si>
    <t>Tranexamic acid 500mg/5ml inj</t>
    <phoneticPr fontId="1" type="noConversion"/>
  </si>
  <si>
    <t>XTRANEX5</t>
  </si>
  <si>
    <t>Bactacin 1.5g inj</t>
  </si>
  <si>
    <t>XAMPSUL15</t>
  </si>
  <si>
    <t>Bactacin 1.5g inj</t>
    <phoneticPr fontId="1" type="noConversion"/>
  </si>
  <si>
    <t>ampicillin sodium 1g, sulbactam sodium 0.5g</t>
    <phoneticPr fontId="1" type="noConversion"/>
  </si>
  <si>
    <t>XAMPSUL15</t>
    <phoneticPr fontId="1" type="noConversion"/>
  </si>
  <si>
    <t>10vial/box</t>
    <phoneticPr fontId="1" type="noConversion"/>
  </si>
  <si>
    <t>유사발음</t>
    <phoneticPr fontId="1" type="noConversion"/>
  </si>
  <si>
    <t>Aspirin protect 100mg tab</t>
    <phoneticPr fontId="1" type="noConversion"/>
  </si>
  <si>
    <t>ASP1PR</t>
    <phoneticPr fontId="1" type="noConversion"/>
  </si>
  <si>
    <t>기밀용기, 1~25℃ 보관</t>
    <phoneticPr fontId="1" type="noConversion"/>
  </si>
  <si>
    <t>기사님 010-2796-3656</t>
    <phoneticPr fontId="1" type="noConversion"/>
  </si>
  <si>
    <t>정형외과</t>
    <phoneticPr fontId="1" type="noConversion"/>
  </si>
  <si>
    <t>Muteran 300mg/3mL inj</t>
    <phoneticPr fontId="1" type="noConversion"/>
  </si>
  <si>
    <t>XACYST3</t>
    <phoneticPr fontId="1" type="noConversion"/>
  </si>
  <si>
    <t>acetylcysteine 100㎎/㎖</t>
    <phoneticPr fontId="1" type="noConversion"/>
  </si>
  <si>
    <t>10AMP/BOX</t>
    <phoneticPr fontId="1" type="noConversion"/>
  </si>
  <si>
    <t>XACYST3</t>
    <phoneticPr fontId="1" type="noConversion"/>
  </si>
  <si>
    <t xml:space="preserve">차광밀봉용기, 실온보관(1-30℃) </t>
    <phoneticPr fontId="1" type="noConversion"/>
  </si>
  <si>
    <t>XGPYRO</t>
  </si>
  <si>
    <t>MVH 5ml inj</t>
    <phoneticPr fontId="1" type="noConversion"/>
  </si>
  <si>
    <t>MVH 5ml inj</t>
    <phoneticPr fontId="1" type="noConversion"/>
  </si>
  <si>
    <t>Dulcolax Supp</t>
  </si>
  <si>
    <t>BISA1-P</t>
  </si>
  <si>
    <t>fotaGEL susp 20ml/pkg</t>
  </si>
  <si>
    <t>SMECD-K</t>
  </si>
  <si>
    <t>diosmectite</t>
  </si>
  <si>
    <t>20포/box</t>
    <phoneticPr fontId="1" type="noConversion"/>
  </si>
  <si>
    <t>isoprenaline</t>
  </si>
  <si>
    <t>MACperan 10mg/2ml inj</t>
  </si>
  <si>
    <t>밀봉용기, 차광, 실온보관</t>
    <phoneticPr fontId="1" type="noConversion"/>
  </si>
  <si>
    <t>Acetphen 1g/100ml premix inj</t>
    <phoneticPr fontId="1" type="noConversion"/>
  </si>
  <si>
    <t>XAPH1</t>
  </si>
  <si>
    <t>실온보관(1~30℃), 밀봉용기</t>
    <phoneticPr fontId="1" type="noConversion"/>
  </si>
  <si>
    <t>XNICAR5</t>
  </si>
  <si>
    <t>Binicapin 5mg/5ml inj</t>
  </si>
  <si>
    <t>차광, 실온(1~30℃)보관</t>
  </si>
  <si>
    <t>nicardipine hydrochloride</t>
    <phoneticPr fontId="1" type="noConversion"/>
  </si>
  <si>
    <t>25AMP/BOX</t>
    <phoneticPr fontId="1" type="noConversion"/>
  </si>
  <si>
    <t>Binicapin 5mg/5ml inj</t>
    <phoneticPr fontId="1" type="noConversion"/>
  </si>
  <si>
    <t>25amp/BOX</t>
    <phoneticPr fontId="1" type="noConversion"/>
  </si>
  <si>
    <t>Healon 10mg/ml 0.85ml inj</t>
  </si>
  <si>
    <t>XXHYAL85</t>
  </si>
  <si>
    <t>차광저장, 2~8℃에서 얼지 않도록 보관, 밀봉용기</t>
    <phoneticPr fontId="1" type="noConversion"/>
  </si>
  <si>
    <t>XXHYAL85</t>
    <phoneticPr fontId="1" type="noConversion"/>
  </si>
  <si>
    <t>hyaluronic acid</t>
    <phoneticPr fontId="1" type="noConversion"/>
  </si>
  <si>
    <t>1srg/box</t>
    <phoneticPr fontId="1" type="noConversion"/>
  </si>
  <si>
    <t>차광저장, 2~8℃에서 얼지 않도록 보관, 밀봉용기</t>
    <phoneticPr fontId="1" type="noConversion"/>
  </si>
  <si>
    <t>XXBROLU</t>
  </si>
  <si>
    <t>Beovu 19.8mg/0.165ml pfs</t>
    <phoneticPr fontId="1" type="noConversion"/>
  </si>
  <si>
    <t>XICGR25W</t>
  </si>
  <si>
    <t>Celbion green 25mg inj</t>
  </si>
  <si>
    <t>indocyanine green</t>
    <phoneticPr fontId="1" type="noConversion"/>
  </si>
  <si>
    <t>1via/box</t>
    <phoneticPr fontId="1" type="noConversion"/>
  </si>
  <si>
    <t>Beovu 19.8mg/0.165ml pfs</t>
    <phoneticPr fontId="1" type="noConversion"/>
  </si>
  <si>
    <t>brolucizumab</t>
  </si>
  <si>
    <t>2~8℃ 보관, 얼리지 말 것, 차광보관</t>
    <phoneticPr fontId="1" type="noConversion"/>
  </si>
  <si>
    <t>1srg/box</t>
    <phoneticPr fontId="1" type="noConversion"/>
  </si>
  <si>
    <t>2~8℃보관, 얼리지 말 것, 차광보관</t>
    <phoneticPr fontId="1" type="noConversion"/>
  </si>
  <si>
    <t>APH6ER1Y</t>
  </si>
  <si>
    <t>Tramol ER 650mg tab</t>
  </si>
  <si>
    <t>FRAVASOL 8.5% 250ml</t>
  </si>
  <si>
    <t>X8FRAV2</t>
  </si>
  <si>
    <t>X10FRAV5</t>
  </si>
  <si>
    <t>Fravasol 10% 500ml</t>
  </si>
  <si>
    <t>amino acids</t>
  </si>
  <si>
    <t>Nalador vial 0.5mg inj</t>
  </si>
  <si>
    <t>냉장(2-8°C) 보관, 밀봉용기</t>
  </si>
  <si>
    <t>비뇨기과</t>
    <phoneticPr fontId="1" type="noConversion"/>
  </si>
  <si>
    <t>Muteran 600mg/6mL inj</t>
    <phoneticPr fontId="1" type="noConversion"/>
  </si>
  <si>
    <t>Fazidone 2g inj</t>
    <phoneticPr fontId="1" type="noConversion"/>
  </si>
  <si>
    <t>Pacetin 1g inj</t>
    <phoneticPr fontId="1" type="noConversion"/>
  </si>
  <si>
    <t>XCOXIT</t>
  </si>
  <si>
    <r>
      <t>밀봉용기, 30</t>
    </r>
    <r>
      <rPr>
        <sz val="10"/>
        <rFont val="맑은 고딕"/>
        <family val="3"/>
        <charset val="129"/>
      </rPr>
      <t>℃</t>
    </r>
    <r>
      <rPr>
        <sz val="10"/>
        <rFont val="돋움"/>
        <family val="3"/>
        <charset val="129"/>
      </rPr>
      <t>이하에서저장</t>
    </r>
    <phoneticPr fontId="1" type="noConversion"/>
  </si>
  <si>
    <t>XCZEDO2G</t>
  </si>
  <si>
    <t>기밀용기, 실온보관(1-30℃)</t>
    <phoneticPr fontId="1" type="noConversion"/>
  </si>
  <si>
    <t>실온보관, 밀봉용기</t>
    <phoneticPr fontId="1" type="noConversion"/>
  </si>
  <si>
    <t>실온보관, 밀봉용기</t>
    <phoneticPr fontId="1" type="noConversion"/>
  </si>
  <si>
    <t>실온(1∼30℃)보관, 밀봉용기, 차광보관</t>
    <phoneticPr fontId="1" type="noConversion"/>
  </si>
  <si>
    <t>XCTRX5</t>
    <phoneticPr fontId="1" type="noConversion"/>
  </si>
  <si>
    <t>밀봉용기, 5 ±3℃ 냉암소보관</t>
    <phoneticPr fontId="1" type="noConversion"/>
  </si>
  <si>
    <t>차광밀봉용기, 실온(1-30℃)보관</t>
    <phoneticPr fontId="1" type="noConversion"/>
  </si>
  <si>
    <t>차광한 밀봉용기, 실온(1~30℃)보관</t>
    <phoneticPr fontId="1" type="noConversion"/>
  </si>
  <si>
    <t>밀봉용기, 냉장보관(2~8℃)</t>
    <phoneticPr fontId="1" type="noConversion"/>
  </si>
  <si>
    <t>XISOP2X</t>
  </si>
  <si>
    <t>용량고주의</t>
    <phoneticPr fontId="1" type="noConversion"/>
  </si>
  <si>
    <t>XNICAR</t>
    <phoneticPr fontId="1" type="noConversion"/>
  </si>
  <si>
    <t>XNICAR2</t>
    <phoneticPr fontId="1" type="noConversion"/>
  </si>
  <si>
    <t>XNICAR5</t>
    <phoneticPr fontId="1" type="noConversion"/>
  </si>
  <si>
    <t xml:space="preserve">15°C 이하 차광냉장보관 </t>
    <phoneticPr fontId="1" type="noConversion"/>
  </si>
  <si>
    <t>XCOXIT</t>
    <phoneticPr fontId="1" type="noConversion"/>
  </si>
  <si>
    <t>Pacetin 1g inj</t>
  </si>
  <si>
    <t>Pacetin 1g inj</t>
    <phoneticPr fontId="1" type="noConversion"/>
  </si>
  <si>
    <t>10AMP/BOX</t>
    <phoneticPr fontId="1" type="noConversion"/>
  </si>
  <si>
    <t>10VIA/BOX</t>
    <phoneticPr fontId="1" type="noConversion"/>
  </si>
  <si>
    <t>유사모양</t>
    <phoneticPr fontId="1" type="noConversion"/>
  </si>
  <si>
    <t>LID11-GL</t>
  </si>
  <si>
    <t>Uricaine gel 11ml</t>
  </si>
  <si>
    <t>기밀용기, 실온(1～30℃)보관, 차광보관</t>
  </si>
  <si>
    <t>22.12.15</t>
    <phoneticPr fontId="1" type="noConversion"/>
  </si>
  <si>
    <t>23.01.17</t>
    <phoneticPr fontId="1" type="noConversion"/>
  </si>
  <si>
    <t>23.02.03</t>
    <phoneticPr fontId="1" type="noConversion"/>
  </si>
  <si>
    <t>NITR</t>
  </si>
  <si>
    <t>nitroglycerin</t>
  </si>
  <si>
    <t>Nitroglycerine 0.6mg tab</t>
  </si>
  <si>
    <t>1tab</t>
    <phoneticPr fontId="1" type="noConversion"/>
  </si>
  <si>
    <t>차광 기밀용기, 20도이하보관</t>
    <phoneticPr fontId="1" type="noConversion"/>
  </si>
  <si>
    <t>XFAMO2W</t>
  </si>
  <si>
    <t>Gaster 20mg/10ml inj</t>
  </si>
  <si>
    <t>XPCALC5Y</t>
    <phoneticPr fontId="1" type="noConversion"/>
  </si>
  <si>
    <t>XPCALC5Y</t>
    <phoneticPr fontId="1" type="noConversion"/>
  </si>
  <si>
    <t>paricalcitol</t>
    <phoneticPr fontId="1" type="noConversion"/>
  </si>
  <si>
    <t>밀봉용기, 실온(25℃이하 보관)</t>
    <phoneticPr fontId="1" type="noConversion"/>
  </si>
  <si>
    <t>밀봉용기, 실온(25℃이하 보관)</t>
    <phoneticPr fontId="1" type="noConversion"/>
  </si>
  <si>
    <t>23.02.28</t>
    <phoneticPr fontId="1" type="noConversion"/>
  </si>
  <si>
    <t>XSUGAM2W</t>
    <phoneticPr fontId="1" type="noConversion"/>
  </si>
  <si>
    <t>Sugammadex 200mg Inj</t>
    <phoneticPr fontId="1" type="noConversion"/>
  </si>
  <si>
    <t>XSUGAM2W</t>
    <phoneticPr fontId="1" type="noConversion"/>
  </si>
  <si>
    <t>Sugammadex Sodium 200mg/2ml inj</t>
    <phoneticPr fontId="1" type="noConversion"/>
  </si>
  <si>
    <t>밀봉용기</t>
    <phoneticPr fontId="1" type="noConversion"/>
  </si>
  <si>
    <t>23.03.21</t>
    <phoneticPr fontId="1" type="noConversion"/>
  </si>
  <si>
    <t>XIBAND3W</t>
    <phoneticPr fontId="1" type="noConversion"/>
  </si>
  <si>
    <t>XVARIZOR</t>
    <phoneticPr fontId="1" type="noConversion"/>
  </si>
  <si>
    <t>Shingrix inj</t>
    <phoneticPr fontId="1" type="noConversion"/>
  </si>
  <si>
    <t>zoster, purified antigen</t>
    <phoneticPr fontId="1" type="noConversion"/>
  </si>
  <si>
    <t>1VIAL/BOX</t>
    <phoneticPr fontId="1" type="noConversion"/>
  </si>
  <si>
    <t>밀봉용기, 냉장(2~8℃), 차광보관</t>
  </si>
  <si>
    <t>Xolair PFS 150mg inj</t>
    <phoneticPr fontId="1" type="noConversion"/>
  </si>
  <si>
    <t>XXOMAL</t>
    <phoneticPr fontId="1" type="noConversion"/>
  </si>
  <si>
    <t>밀봉용기, 냉장(2-8℃)보관, 차광보관</t>
    <phoneticPr fontId="1" type="noConversion"/>
  </si>
  <si>
    <t>XXOMAL</t>
    <phoneticPr fontId="1" type="noConversion"/>
  </si>
  <si>
    <t>Omalizumab 150mg</t>
    <phoneticPr fontId="1" type="noConversion"/>
  </si>
  <si>
    <t>Xolair PFS 150mg inj</t>
    <phoneticPr fontId="1" type="noConversion"/>
  </si>
  <si>
    <t>1SRG/box</t>
    <phoneticPr fontId="1" type="noConversion"/>
  </si>
  <si>
    <t>XXROMO1</t>
    <phoneticPr fontId="1" type="noConversion"/>
  </si>
  <si>
    <t>Romosozumab 105mg</t>
  </si>
  <si>
    <t>Evenity 105mg/1.17ml</t>
  </si>
  <si>
    <t>2pfs/box</t>
    <phoneticPr fontId="1" type="noConversion"/>
  </si>
  <si>
    <t xml:space="preserve">밀봉용기, 차광하여 냉장 보관(2-8°C) </t>
    <phoneticPr fontId="1" type="noConversion"/>
  </si>
  <si>
    <t>Pacitol 5mcg/ml inj</t>
    <phoneticPr fontId="1" type="noConversion"/>
  </si>
  <si>
    <t>Pacitol 5mcg/ml inj</t>
    <phoneticPr fontId="1" type="noConversion"/>
  </si>
  <si>
    <t>XSELEN1</t>
    <phoneticPr fontId="1" type="noConversion"/>
  </si>
  <si>
    <t>Live attenuated human rotavirus</t>
    <phoneticPr fontId="1" type="noConversion"/>
  </si>
  <si>
    <t>sodium selenite</t>
    <phoneticPr fontId="1" type="noConversion"/>
  </si>
  <si>
    <t>Rotarix prefilled 1.5ml</t>
    <phoneticPr fontId="1" type="noConversion"/>
  </si>
  <si>
    <t>SeLENtab 1000mcg/20ml inj</t>
    <phoneticPr fontId="1" type="noConversion"/>
  </si>
  <si>
    <t>10VIAL/BOX</t>
    <phoneticPr fontId="1" type="noConversion"/>
  </si>
  <si>
    <t>밀봉용기, 15~25℃ 차광·건소보관</t>
    <phoneticPr fontId="1" type="noConversion"/>
  </si>
  <si>
    <t>XXHYAL40</t>
    <phoneticPr fontId="1" type="noConversion"/>
  </si>
  <si>
    <t>Bonisenwons 40mg/2ml inj (sodium hyaluronate)</t>
    <phoneticPr fontId="1" type="noConversion"/>
  </si>
  <si>
    <t>Bonisenwons 40mg/2ml inj</t>
  </si>
  <si>
    <t>1SRG/BOX</t>
    <phoneticPr fontId="1" type="noConversion"/>
  </si>
  <si>
    <t>밀봉용기, 실온(1~30℃) 보관</t>
    <phoneticPr fontId="1" type="noConversion"/>
  </si>
  <si>
    <t>XCTXM5W</t>
    <phoneticPr fontId="1" type="noConversion"/>
  </si>
  <si>
    <t>Cefotaxime 500mg inj</t>
    <phoneticPr fontId="1" type="noConversion"/>
  </si>
  <si>
    <t>Cefotaxime 500mg inj (cefotaxime)</t>
    <phoneticPr fontId="1" type="noConversion"/>
  </si>
  <si>
    <t>10VIA/BOX</t>
    <phoneticPr fontId="1" type="noConversion"/>
  </si>
  <si>
    <t>XCTXM2G</t>
    <phoneticPr fontId="1" type="noConversion"/>
  </si>
  <si>
    <t>CefoTAXIME 2g inj</t>
    <phoneticPr fontId="1" type="noConversion"/>
  </si>
  <si>
    <t>Ceftacin 1g inj</t>
    <phoneticPr fontId="1" type="noConversion"/>
  </si>
  <si>
    <t>CefoTAXIME 2g inj (cefotaxime)</t>
  </si>
  <si>
    <t>10VIA/BOX</t>
    <phoneticPr fontId="1" type="noConversion"/>
  </si>
  <si>
    <t>밀봉용기, 실온(1-30℃)보관</t>
    <phoneticPr fontId="1" type="noConversion"/>
  </si>
  <si>
    <t>밀봉용기, 실온(1-30℃)보관</t>
    <phoneticPr fontId="1" type="noConversion"/>
  </si>
  <si>
    <t>밀봉용기, 실온(1-31℃)보관</t>
  </si>
  <si>
    <t>XAMPSUL7</t>
  </si>
  <si>
    <t>Ubacsin 750mg inj</t>
    <phoneticPr fontId="1" type="noConversion"/>
  </si>
  <si>
    <t>Ubacsin 750mg inj (ampicillin/sulbactam)</t>
    <phoneticPr fontId="1" type="noConversion"/>
  </si>
  <si>
    <t>밀봉용기, 실온(1~30℃)보관</t>
    <phoneticPr fontId="1" type="noConversion"/>
  </si>
  <si>
    <t>기밀용기, 실온(1～30℃)보관, 차광보관</t>
    <phoneticPr fontId="1" type="noConversion"/>
  </si>
  <si>
    <t>밀봉용기, 실온보관(1~30℃)</t>
    <phoneticPr fontId="1" type="noConversion"/>
  </si>
  <si>
    <t>BSS5-L</t>
    <phoneticPr fontId="1" type="noConversion"/>
  </si>
  <si>
    <t>BSS plastic bagtype 500ml</t>
    <phoneticPr fontId="1" type="noConversion"/>
  </si>
  <si>
    <t>BSS plastic bagtype 500ml</t>
    <phoneticPr fontId="1" type="noConversion"/>
  </si>
  <si>
    <t>500ML/BTL</t>
    <phoneticPr fontId="1" type="noConversion"/>
  </si>
  <si>
    <t>500ML/BAG</t>
    <phoneticPr fontId="1" type="noConversion"/>
  </si>
  <si>
    <t>과열을 피하여 실온보관(8-27℃), 밀봉용기</t>
    <phoneticPr fontId="1" type="noConversion"/>
  </si>
  <si>
    <t>BSS5-L</t>
    <phoneticPr fontId="1" type="noConversion"/>
  </si>
  <si>
    <t>Diphtheria/Tetanus Vaccine</t>
    <phoneticPr fontId="1" type="noConversion"/>
  </si>
  <si>
    <t>XHUR16C40</t>
    <phoneticPr fontId="1" type="noConversion"/>
  </si>
  <si>
    <t>Discovisc 1ml inj (sodium hyaluronate/chondroitin sodium sulfate)</t>
  </si>
  <si>
    <t>Discovisc 1ml inj</t>
  </si>
  <si>
    <t>1SRG/BOX</t>
    <phoneticPr fontId="1" type="noConversion"/>
  </si>
  <si>
    <t>기밀용기, 2-8℃ 보관</t>
  </si>
  <si>
    <t>Cefazedone 1g</t>
    <phoneticPr fontId="1" type="noConversion"/>
  </si>
  <si>
    <t>Cefazedone 1g inj</t>
    <phoneticPr fontId="1" type="noConversion"/>
  </si>
  <si>
    <t>TICAG90</t>
    <phoneticPr fontId="1" type="noConversion"/>
  </si>
  <si>
    <t>Brilinta 90mg Tab</t>
    <phoneticPr fontId="1" type="noConversion"/>
  </si>
  <si>
    <t>Brilinta 90mg Tab (ticagrelor)</t>
  </si>
  <si>
    <t>56TAB/BOX</t>
    <phoneticPr fontId="1" type="noConversion"/>
  </si>
  <si>
    <t>기밀용기, 실온(1∼30℃)보관</t>
    <phoneticPr fontId="1" type="noConversion"/>
  </si>
  <si>
    <t>Pentastarch 10% 500mL inj</t>
  </si>
  <si>
    <t>XMVH</t>
    <phoneticPr fontId="1" type="noConversion"/>
  </si>
  <si>
    <t>XMVH</t>
    <phoneticPr fontId="1" type="noConversion"/>
  </si>
  <si>
    <t>XIBUPR4P</t>
    <phoneticPr fontId="1" type="noConversion"/>
  </si>
  <si>
    <t>Bupensol 400mg/100ml inj</t>
    <phoneticPr fontId="1" type="noConversion"/>
  </si>
  <si>
    <t>Bupensol 400mg/100ml inj (ibuprofen)</t>
    <phoneticPr fontId="1" type="noConversion"/>
  </si>
  <si>
    <t>100ML/BAG</t>
    <phoneticPr fontId="1" type="noConversion"/>
  </si>
  <si>
    <t>밀봉용기, 실온(1~30℃)보관</t>
    <phoneticPr fontId="1" type="noConversion"/>
  </si>
  <si>
    <t>NITR14-SP</t>
    <phoneticPr fontId="1" type="noConversion"/>
  </si>
  <si>
    <t>Nitrolingual spray 14.4ml (nitroglycerin)</t>
    <phoneticPr fontId="1" type="noConversion"/>
  </si>
  <si>
    <t>Nitrolingual spray 14.4ml</t>
    <phoneticPr fontId="1" type="noConversion"/>
  </si>
  <si>
    <t>1BTL/BOX</t>
    <phoneticPr fontId="1" type="noConversion"/>
  </si>
  <si>
    <t>밀봉용기, 25℃이하 보관</t>
    <phoneticPr fontId="1" type="noConversion"/>
  </si>
  <si>
    <t>XERTAPEN</t>
  </si>
  <si>
    <t>XERTAPEN</t>
    <phoneticPr fontId="1" type="noConversion"/>
  </si>
  <si>
    <t>Invanz 1g inj (ertapenem)</t>
  </si>
  <si>
    <t>Invanz 1g inj (ertapenem)</t>
    <phoneticPr fontId="1" type="noConversion"/>
  </si>
  <si>
    <t>Invanz 1g inj</t>
  </si>
  <si>
    <t>Invanz 1g inj</t>
    <phoneticPr fontId="1" type="noConversion"/>
  </si>
  <si>
    <t>1Vial/BOX</t>
  </si>
  <si>
    <t>1Vial/BOX</t>
    <phoneticPr fontId="1" type="noConversion"/>
  </si>
  <si>
    <t>밀봉용기, 실온(25℃ 이하)보관</t>
  </si>
  <si>
    <t>밀봉용기, 실온(25℃ 이하)보관</t>
    <phoneticPr fontId="1" type="noConversion"/>
  </si>
  <si>
    <t>밀봉용기, 2-8℃에서 냉장보관, 얼리지 말 것, 차광</t>
    <phoneticPr fontId="1" type="noConversion"/>
  </si>
  <si>
    <t>XXHPV9</t>
    <phoneticPr fontId="1" type="noConversion"/>
  </si>
  <si>
    <t>garDasil 9 pfs (human papilloma virus vaccine 9가)</t>
    <phoneticPr fontId="1" type="noConversion"/>
  </si>
  <si>
    <t>garDasil 9 pfs</t>
    <phoneticPr fontId="1" type="noConversion"/>
  </si>
  <si>
    <t>XCMTAZ</t>
  </si>
  <si>
    <t>cefmetazole 1g inj</t>
  </si>
  <si>
    <t>Ceftacin 1g inj</t>
  </si>
  <si>
    <t xml:space="preserve">Hyspan 20mg inj </t>
  </si>
  <si>
    <t/>
  </si>
  <si>
    <t>PANCR457</t>
    <phoneticPr fontId="1" type="noConversion"/>
  </si>
  <si>
    <t>Norzyme cap (pancreatin)</t>
    <phoneticPr fontId="1" type="noConversion"/>
  </si>
  <si>
    <t>Norzyme cap</t>
    <phoneticPr fontId="1" type="noConversion"/>
  </si>
  <si>
    <t>100Cap/BTL</t>
    <phoneticPr fontId="1" type="noConversion"/>
  </si>
  <si>
    <t>기밀용기, 실온(1~30℃)보관</t>
    <phoneticPr fontId="1" type="noConversion"/>
  </si>
  <si>
    <t>Micera 120mcg pfs</t>
    <phoneticPr fontId="1" type="noConversion"/>
  </si>
  <si>
    <t>XB12Y</t>
  </si>
  <si>
    <t>Lanobin 5mg/2ml inj (hydroxocobalamin)</t>
  </si>
  <si>
    <t>Lanobin 5mg/2ml inj</t>
  </si>
  <si>
    <t>차광한 밀봉용기,실온보관</t>
  </si>
  <si>
    <t>Ascorbic acid 500mg/2ml inj</t>
    <phoneticPr fontId="1" type="noConversion"/>
  </si>
  <si>
    <t>동결을 피하여 2∼8℃에서 보관</t>
    <phoneticPr fontId="1" type="noConversion"/>
  </si>
  <si>
    <t>Adacel 0.5ml PFS</t>
    <phoneticPr fontId="1" type="noConversion"/>
  </si>
  <si>
    <t>Adacel 0.5ml PFS</t>
    <phoneticPr fontId="1" type="noConversion"/>
  </si>
  <si>
    <t>DIPHERELINE PR 3.75mg inj</t>
    <phoneticPr fontId="1" type="noConversion"/>
  </si>
  <si>
    <t>XTRIPTO3W</t>
    <phoneticPr fontId="1" type="noConversion"/>
  </si>
  <si>
    <t>밀봉용기, 25℃이하 보관</t>
    <phoneticPr fontId="1" type="noConversion"/>
  </si>
  <si>
    <t>밀봉용기,25℃이하 보관</t>
    <phoneticPr fontId="1" type="noConversion"/>
  </si>
  <si>
    <t>24.03.18</t>
    <phoneticPr fontId="1" type="noConversion"/>
  </si>
  <si>
    <t>THROM-W</t>
    <phoneticPr fontId="1" type="noConversion"/>
  </si>
  <si>
    <t>Thrombin FD powder이연</t>
    <phoneticPr fontId="1" type="noConversion"/>
  </si>
  <si>
    <t>밀봉용기 2~8도씨</t>
    <phoneticPr fontId="1" type="noConversion"/>
  </si>
  <si>
    <t>XXHYAL60</t>
    <phoneticPr fontId="1" type="noConversion"/>
  </si>
  <si>
    <t>Synovian 60mg inj</t>
    <phoneticPr fontId="1" type="noConversion"/>
  </si>
  <si>
    <t>XXPCV15</t>
    <phoneticPr fontId="1" type="noConversion"/>
  </si>
  <si>
    <t>Vaxneuvance 0.5ml PFS</t>
    <phoneticPr fontId="1" type="noConversion"/>
  </si>
  <si>
    <t>밀봉용기, 동결을 피하여 냉장(2~8℃) 보관, 차광 보관</t>
    <phoneticPr fontId="1" type="noConversion"/>
  </si>
  <si>
    <t>X20AL1S</t>
  </si>
  <si>
    <t>24.05.16</t>
    <phoneticPr fontId="1" type="noConversion"/>
  </si>
  <si>
    <t>XXHYAL20Y</t>
  </si>
  <si>
    <t>BM hyal 20mg pfs</t>
  </si>
  <si>
    <t>유사발음</t>
  </si>
  <si>
    <t>XBPCA5W</t>
    <phoneticPr fontId="1" type="noConversion"/>
  </si>
  <si>
    <t>Bupivacaine-HCl 0.5% 20ml inj HANA</t>
    <phoneticPr fontId="1" type="noConversion"/>
  </si>
  <si>
    <t>차광밀봉용기, 실온(1~30℃)보관</t>
    <phoneticPr fontId="1" type="noConversion"/>
  </si>
  <si>
    <t>LMT에서 수령</t>
    <phoneticPr fontId="1" type="noConversion"/>
  </si>
  <si>
    <t>XIDARU5W</t>
    <phoneticPr fontId="1" type="noConversion"/>
  </si>
  <si>
    <t>Zavedos 5mg inj</t>
    <phoneticPr fontId="1" type="noConversion"/>
  </si>
  <si>
    <t>24.06.17</t>
    <phoneticPr fontId="1" type="noConversion"/>
  </si>
  <si>
    <t>XHGRH</t>
    <phoneticPr fontId="12" type="noConversion"/>
  </si>
  <si>
    <t>Relicheck 0.1mg inj</t>
  </si>
  <si>
    <t>Relicheck 0.1mg inj</t>
    <phoneticPr fontId="1" type="noConversion"/>
  </si>
  <si>
    <t>밀봉용기, 1~25℃ 보관</t>
  </si>
  <si>
    <t>신경과</t>
    <phoneticPr fontId="1" type="noConversion"/>
  </si>
  <si>
    <t>XBOTOX50X</t>
    <phoneticPr fontId="1" type="noConversion"/>
  </si>
  <si>
    <t>Nabota 50U inj</t>
    <phoneticPr fontId="1" type="noConversion"/>
  </si>
  <si>
    <t>XBOTOX1W</t>
    <phoneticPr fontId="1" type="noConversion"/>
  </si>
  <si>
    <t>Nabota 100U inj</t>
    <phoneticPr fontId="1" type="noConversion"/>
  </si>
  <si>
    <t>밀봉용기, 냉장(2～8℃) 보관</t>
    <phoneticPr fontId="1" type="noConversion"/>
  </si>
  <si>
    <t>밀봉용기, 냉장(2～8℃) 보관</t>
    <phoneticPr fontId="1" type="noConversion"/>
  </si>
  <si>
    <t>XXRANIBP</t>
    <phoneticPr fontId="1" type="noConversion"/>
  </si>
  <si>
    <t>Lucen BS 1.65mg/0.165ml pfs</t>
    <phoneticPr fontId="1" type="noConversion"/>
  </si>
  <si>
    <t>밀봉용기, 2~8℃ 차광보관, 동결시키거나 진탕하지 말 것</t>
    <phoneticPr fontId="1" type="noConversion"/>
  </si>
  <si>
    <t>HCORT1-LT</t>
  </si>
  <si>
    <t>Lacticare HC lotion1% 118g</t>
    <phoneticPr fontId="1" type="noConversion"/>
  </si>
  <si>
    <t>24.11.07</t>
    <phoneticPr fontId="1" type="noConversion"/>
  </si>
  <si>
    <t>Mircera 120mcg pfs</t>
    <phoneticPr fontId="1" type="noConversion"/>
  </si>
  <si>
    <t>Mircera 200mcg pfs</t>
    <phoneticPr fontId="1" type="noConversion"/>
  </si>
  <si>
    <t>Mircera 50mcg pfs</t>
    <phoneticPr fontId="1" type="noConversion"/>
  </si>
  <si>
    <t>Mircera 75mcg pfs</t>
    <phoneticPr fontId="1" type="noConversion"/>
  </si>
  <si>
    <t>XXDUPIL3P</t>
    <phoneticPr fontId="1" type="noConversion"/>
  </si>
  <si>
    <t>Dupixent 300mg/2ml pen</t>
    <phoneticPr fontId="1" type="noConversion"/>
  </si>
  <si>
    <t>밀봉용기, 차광하여 냉장보관(2-8℃)</t>
    <phoneticPr fontId="1" type="noConversion"/>
  </si>
  <si>
    <t>Eglandin 10mcg/2ml inj</t>
    <phoneticPr fontId="1" type="noConversion"/>
  </si>
  <si>
    <t>밀봉용기,동결을 피해 5℃이하에서 차광하여 보관</t>
    <phoneticPr fontId="1" type="noConversion"/>
  </si>
  <si>
    <t>XPGE110</t>
    <phoneticPr fontId="1" type="noConversion"/>
  </si>
  <si>
    <t>XPGE110</t>
    <phoneticPr fontId="1" type="noConversion"/>
  </si>
  <si>
    <t>XEPHE</t>
    <phoneticPr fontId="1" type="noConversion"/>
  </si>
  <si>
    <t>Ephedrine HCl 40mg</t>
    <phoneticPr fontId="1" type="noConversion"/>
  </si>
  <si>
    <t>Ephedrine HCl 40mg inj</t>
    <phoneticPr fontId="1" type="noConversion"/>
  </si>
  <si>
    <t>MUPIR1Y-O</t>
    <phoneticPr fontId="1" type="noConversion"/>
  </si>
  <si>
    <t>Esroban 10g oint</t>
    <phoneticPr fontId="1" type="noConversion"/>
  </si>
  <si>
    <t>기밀용기, 실온(1~30℃)보관</t>
    <phoneticPr fontId="1" type="noConversion"/>
  </si>
  <si>
    <t>차광 기밀용기, 20도이하보관</t>
  </si>
  <si>
    <t>차광 기밀용기, 20도이하보관</t>
    <phoneticPr fontId="1" type="noConversion"/>
  </si>
  <si>
    <t>XFECMC500</t>
    <phoneticPr fontId="1" type="noConversion"/>
  </si>
  <si>
    <t>Ferinject 500mg/10ml Inj</t>
    <phoneticPr fontId="1" type="noConversion"/>
  </si>
  <si>
    <t>밀봉용기, 실온(1~30℃) 보관. 얼리지 말 것.</t>
    <phoneticPr fontId="1" type="noConversion"/>
  </si>
  <si>
    <t>XFEIM2</t>
    <phoneticPr fontId="1" type="noConversion"/>
  </si>
  <si>
    <t>Monofer 200mg/2ml inj</t>
    <phoneticPr fontId="1" type="noConversion"/>
  </si>
  <si>
    <t>XXDABE120</t>
    <phoneticPr fontId="1" type="noConversion"/>
  </si>
  <si>
    <t>Nesbell 120mcg/0.5ml pfs</t>
    <phoneticPr fontId="1" type="noConversion"/>
  </si>
  <si>
    <t>XXDABE60</t>
  </si>
  <si>
    <t>Nesbell 60mcg/0.5ml pfs</t>
  </si>
  <si>
    <t>XXDABE40</t>
    <phoneticPr fontId="1" type="noConversion"/>
  </si>
  <si>
    <t>Nesbell 40mcg/0.5ml pfs</t>
    <phoneticPr fontId="1" type="noConversion"/>
  </si>
  <si>
    <t>XXDABE30</t>
  </si>
  <si>
    <t>Nesbell 30mcg/0.5ml pfs</t>
  </si>
  <si>
    <t>XXDABE20</t>
  </si>
  <si>
    <t>Nesbell 20mcg/0.5ml pfs</t>
  </si>
  <si>
    <t>Nesbell 20mcg/0.5ml pfs</t>
    <phoneticPr fontId="1" type="noConversion"/>
  </si>
  <si>
    <t>Nesbell 30mcg/0.5ml pfs</t>
    <phoneticPr fontId="1" type="noConversion"/>
  </si>
  <si>
    <t>Nesbell 40mcg/0.5ml pfs</t>
    <phoneticPr fontId="1" type="noConversion"/>
  </si>
  <si>
    <t>Nesbell 60mcg/0.5ml pfs</t>
    <phoneticPr fontId="1" type="noConversion"/>
  </si>
  <si>
    <t>Nesbell 120mcg/0.5ml pfs</t>
    <phoneticPr fontId="1" type="noConversion"/>
  </si>
  <si>
    <t>XXDABE30</t>
    <phoneticPr fontId="1" type="noConversion"/>
  </si>
  <si>
    <t>XAFLIB2W</t>
    <phoneticPr fontId="1" type="noConversion"/>
  </si>
  <si>
    <t>Eydenzelt 2mg/0.05ml inj</t>
    <phoneticPr fontId="1" type="noConversion"/>
  </si>
  <si>
    <t>XBMETHA4W</t>
    <phoneticPr fontId="1" type="noConversion"/>
  </si>
  <si>
    <t>XBMETHA4W</t>
    <phoneticPr fontId="1" type="noConversion"/>
  </si>
  <si>
    <t>XSULPRO5W</t>
    <phoneticPr fontId="1" type="noConversion"/>
  </si>
  <si>
    <t>XSULPRO5W</t>
    <phoneticPr fontId="1" type="noConversion"/>
  </si>
  <si>
    <t>XAMBR15</t>
    <phoneticPr fontId="1" type="noConversion"/>
  </si>
  <si>
    <t>Ambroxol 15mg inj</t>
    <phoneticPr fontId="1" type="noConversion"/>
  </si>
  <si>
    <t>Palonosetron 0.075mg/1.5ml</t>
    <phoneticPr fontId="1" type="noConversion"/>
  </si>
  <si>
    <t>Aloxi 0.075mg/1.5ml inj</t>
    <phoneticPr fontId="1" type="noConversion"/>
  </si>
  <si>
    <t>5vial/BOX</t>
    <phoneticPr fontId="1" type="noConversion"/>
  </si>
  <si>
    <t>실온(1∼30℃)보관, 밀봉용기, 빛을 피하여 보관</t>
    <phoneticPr fontId="1" type="noConversion"/>
  </si>
  <si>
    <t>Ambroxol 15mg</t>
    <phoneticPr fontId="1" type="noConversion"/>
  </si>
  <si>
    <t>50AMP/BOX</t>
    <phoneticPr fontId="1" type="noConversion"/>
  </si>
  <si>
    <t>차광밀봉용기, 실온(1~30℃)보관</t>
    <phoneticPr fontId="1" type="noConversion"/>
  </si>
  <si>
    <t>유사모양</t>
    <phoneticPr fontId="1" type="noConversion"/>
  </si>
  <si>
    <t>XSUGAM1W</t>
  </si>
  <si>
    <t>XSUGAM1W</t>
    <phoneticPr fontId="1" type="noConversion"/>
  </si>
  <si>
    <t>Sugammadex 199mg Inj</t>
  </si>
  <si>
    <t>9 VIAL/BOX</t>
  </si>
  <si>
    <t>2∼30℃보관, 차광보관, 밀봉용기</t>
    <phoneticPr fontId="1" type="noConversion"/>
  </si>
  <si>
    <t>Sugammadex Sodium 100mg/1ml inj</t>
    <phoneticPr fontId="1" type="noConversion"/>
  </si>
  <si>
    <t>Sugammadex Sodium 100mg/1ml inj</t>
    <phoneticPr fontId="1" type="noConversion"/>
  </si>
  <si>
    <t>XSUXAM</t>
    <phoneticPr fontId="1" type="noConversion"/>
  </si>
  <si>
    <t>Lysthenon 100mg/5ml inj</t>
    <phoneticPr fontId="1" type="noConversion"/>
  </si>
  <si>
    <t>고위험의약품</t>
    <phoneticPr fontId="1" type="noConversion"/>
  </si>
  <si>
    <t>XSUXAM</t>
    <phoneticPr fontId="1" type="noConversion"/>
  </si>
  <si>
    <t>냉장보관(2°C ~ 8°C)</t>
  </si>
  <si>
    <t>냉장(2~8℃)보관</t>
    <phoneticPr fontId="1" type="noConversion"/>
  </si>
  <si>
    <t>XXTDAP5W</t>
  </si>
  <si>
    <t>XXTDAP5W</t>
    <phoneticPr fontId="1" type="noConversion"/>
  </si>
  <si>
    <t>XAMP5</t>
    <phoneticPr fontId="1" type="noConversion"/>
  </si>
  <si>
    <t>Penbrex 500mg inj</t>
    <phoneticPr fontId="1" type="noConversion"/>
  </si>
  <si>
    <t>밀봉용기 실온보관</t>
    <phoneticPr fontId="1" type="noConversion"/>
  </si>
  <si>
    <t>기밀용기, 실온보관</t>
    <phoneticPr fontId="1" type="noConversion"/>
  </si>
  <si>
    <t>TOB-T</t>
    <phoneticPr fontId="1" type="noConversion"/>
  </si>
  <si>
    <t>Tobra 0.3% 5ml oph sol</t>
    <phoneticPr fontId="1" type="noConversion"/>
  </si>
  <si>
    <t>XXCTRX2</t>
    <phoneticPr fontId="1" type="noConversion"/>
  </si>
  <si>
    <t>Trison Kit 2g inj</t>
    <phoneticPr fontId="1" type="noConversion"/>
  </si>
  <si>
    <t>밀봉용기, 실온(1-30℃)보관</t>
    <phoneticPr fontId="1" type="noConversion"/>
  </si>
  <si>
    <t>고위험의약품</t>
    <phoneticPr fontId="1" type="noConversion"/>
  </si>
  <si>
    <t>기타 주의 사항</t>
    <phoneticPr fontId="1" type="noConversion"/>
  </si>
  <si>
    <t>XVERAW</t>
    <phoneticPr fontId="1" type="noConversion"/>
  </si>
  <si>
    <t>Isoptin 5mg inj(viatris)</t>
    <phoneticPr fontId="1" type="noConversion"/>
  </si>
  <si>
    <t>Isoptin 5mg inj(viatris)</t>
    <phoneticPr fontId="1" type="noConversion"/>
  </si>
  <si>
    <t>Isoptin 5mg inj(viatris)</t>
    <phoneticPr fontId="1" type="noConversion"/>
  </si>
  <si>
    <t>XNTENS5</t>
    <phoneticPr fontId="1" type="noConversion"/>
  </si>
  <si>
    <t>Ntense EF 506mL inj</t>
    <phoneticPr fontId="1" type="noConversion"/>
  </si>
  <si>
    <t>밀봉용기, 실온(1 ~ 25℃) 보관</t>
    <phoneticPr fontId="1" type="noConversion"/>
  </si>
  <si>
    <t>25.06.11</t>
    <phoneticPr fontId="1" type="noConversion"/>
  </si>
  <si>
    <t>25.06.11</t>
    <phoneticPr fontId="1" type="noConversion"/>
  </si>
  <si>
    <t>XHEPAR15</t>
  </si>
  <si>
    <t>HEPARIN sod. 5000iu/5ml inj</t>
    <phoneticPr fontId="1" type="noConversion"/>
  </si>
  <si>
    <t>차광한 밀봉용기</t>
    <phoneticPr fontId="1" type="noConversion"/>
  </si>
  <si>
    <t>XCZOL1W</t>
    <phoneticPr fontId="1" type="noConversion"/>
  </si>
  <si>
    <t>XCZOL1W</t>
    <phoneticPr fontId="1" type="noConversion"/>
  </si>
  <si>
    <t>25.07.18</t>
    <phoneticPr fontId="1" type="noConversion"/>
  </si>
  <si>
    <t>XCZOL1W</t>
    <phoneticPr fontId="1" type="noConversion"/>
  </si>
  <si>
    <t>25.07.18</t>
    <phoneticPr fontId="1" type="noConversion"/>
  </si>
  <si>
    <t>XCZOL1W</t>
    <phoneticPr fontId="1" type="noConversion"/>
  </si>
  <si>
    <t>XCZOL1W</t>
    <phoneticPr fontId="1" type="noConversion"/>
  </si>
  <si>
    <t>25.07.28</t>
    <phoneticPr fontId="1" type="noConversion"/>
  </si>
  <si>
    <t>XGM80</t>
  </si>
  <si>
    <t>앰플: 밀봉용기, 실온(1 ∼30℃)보관</t>
  </si>
  <si>
    <t>XPNEUM20A</t>
    <phoneticPr fontId="1" type="noConversion"/>
  </si>
  <si>
    <t>Prevenar 20 pfs (adult)</t>
    <phoneticPr fontId="1" type="noConversion"/>
  </si>
  <si>
    <t>고위험의약품</t>
    <phoneticPr fontId="1" type="noConversion"/>
  </si>
  <si>
    <t>XXOMALIZ</t>
    <phoneticPr fontId="1" type="noConversion"/>
  </si>
  <si>
    <t>Omlyclo 150mg/ml pfs</t>
    <phoneticPr fontId="1" type="noConversion"/>
  </si>
  <si>
    <t>밀봉용기, 냉장(2-8℃)보관, 차광보관</t>
    <phoneticPr fontId="1" type="noConversion"/>
  </si>
  <si>
    <t>XXEPOB360</t>
    <phoneticPr fontId="1" type="noConversion"/>
  </si>
  <si>
    <t xml:space="preserve">Mircera 360mcg pfs </t>
    <phoneticPr fontId="1" type="noConversion"/>
  </si>
  <si>
    <t>XXEPOB360</t>
  </si>
  <si>
    <t xml:space="preserve">Mircera 360mcg pfs </t>
  </si>
  <si>
    <t>냉장 차광보관</t>
  </si>
  <si>
    <t>신속대응팀</t>
    <phoneticPr fontId="1" type="noConversion"/>
  </si>
  <si>
    <t>고위험의약품</t>
    <phoneticPr fontId="1" type="noConversion"/>
  </si>
  <si>
    <t>25.10.16</t>
    <phoneticPr fontId="1" type="noConversion"/>
  </si>
  <si>
    <t>XCTRX2W</t>
    <phoneticPr fontId="1" type="noConversion"/>
  </si>
  <si>
    <t>Ceftriaxone 2g inj</t>
    <phoneticPr fontId="1" type="noConversion"/>
  </si>
  <si>
    <t>XXARPIP72</t>
  </si>
  <si>
    <t>Abilify asimtufii 720mg inj</t>
  </si>
  <si>
    <t>XXARPIP96</t>
  </si>
  <si>
    <t>Abilify asimtufii 960mg inj</t>
  </si>
  <si>
    <t>밀봉용기, 실온보관(1~30℃)</t>
    <phoneticPr fontId="1" type="noConversion"/>
  </si>
  <si>
    <t>25.12.01</t>
    <phoneticPr fontId="1" type="noConversion"/>
  </si>
  <si>
    <t>25.12.03</t>
    <phoneticPr fontId="1" type="noConversion"/>
  </si>
  <si>
    <t>XB12Y</t>
    <phoneticPr fontId="1" type="noConversion"/>
  </si>
  <si>
    <t>XXHAV16W</t>
    <phoneticPr fontId="1" type="noConversion"/>
  </si>
  <si>
    <t>XXHAV16W</t>
    <phoneticPr fontId="1" type="noConversion"/>
  </si>
  <si>
    <t>Isoproternol-l 0.2mg/ml inj(Gitai)</t>
    <phoneticPr fontId="1" type="noConversion"/>
  </si>
  <si>
    <t>0.9% NaKCl 20mEq/100ml btl</t>
    <phoneticPr fontId="1" type="noConversion"/>
  </si>
  <si>
    <t>0.9% NaKCl 20mEq/100ml btl</t>
    <phoneticPr fontId="1" type="noConversion"/>
  </si>
  <si>
    <t>0.9% NaKCl 20mEq/100ml btl</t>
    <phoneticPr fontId="1" type="noConversion"/>
  </si>
  <si>
    <t>0.9% NaKCl 20mEq/100ml btl</t>
    <phoneticPr fontId="1" type="noConversion"/>
  </si>
  <si>
    <t>XXDTPHBP</t>
    <phoneticPr fontId="1" type="noConversion"/>
  </si>
  <si>
    <t>XCTRX1W</t>
    <phoneticPr fontId="1" type="noConversion"/>
  </si>
  <si>
    <t>Ceftriaxone 1g inj</t>
    <phoneticPr fontId="1" type="noConversion"/>
  </si>
  <si>
    <t>XCTRX1W</t>
    <phoneticPr fontId="1" type="noConversion"/>
  </si>
  <si>
    <t>XCTRX1W</t>
    <phoneticPr fontId="1" type="noConversion"/>
  </si>
  <si>
    <t xml:space="preserve">Ceftriaxone 1g inj </t>
    <phoneticPr fontId="1" type="noConversion"/>
  </si>
  <si>
    <t>XIHEX3530</t>
    <phoneticPr fontId="1" type="noConversion"/>
  </si>
  <si>
    <t>Bonorex 350 30ml inj</t>
    <phoneticPr fontId="1" type="noConversion"/>
  </si>
  <si>
    <t>밀봉용기, 차광하여 실온(1～30℃)보관</t>
  </si>
  <si>
    <t>XHEPATA5</t>
    <phoneticPr fontId="1" type="noConversion"/>
  </si>
  <si>
    <t>Hepatamine 500ml Bag</t>
    <phoneticPr fontId="1" type="noConversion"/>
  </si>
  <si>
    <t>26.01.19</t>
    <phoneticPr fontId="1" type="noConversion"/>
  </si>
  <si>
    <t>26.02.09</t>
    <phoneticPr fontId="1" type="noConversion"/>
  </si>
  <si>
    <t>유사모양</t>
  </si>
  <si>
    <t>XFURO</t>
  </si>
  <si>
    <t>XPANTO4</t>
  </si>
  <si>
    <t>Pantoline 40mg inj</t>
  </si>
  <si>
    <t>XCPENIR</t>
  </si>
  <si>
    <t>XTAZOC4W</t>
  </si>
  <si>
    <t>Tazoractam 4.5g inj</t>
  </si>
  <si>
    <t>XTRAM50</t>
  </si>
  <si>
    <t>영문상품명</t>
    <phoneticPr fontId="1" type="noConversion"/>
  </si>
  <si>
    <t>26.02.25</t>
    <phoneticPr fontId="1" type="noConversion"/>
  </si>
  <si>
    <t>26.03.06</t>
    <phoneticPr fontId="1" type="noConversion"/>
  </si>
  <si>
    <t>XCZEDO2G</t>
    <phoneticPr fontId="1" type="noConversion"/>
  </si>
  <si>
    <t>XXAFLIB2</t>
    <phoneticPr fontId="1" type="noConversion"/>
  </si>
  <si>
    <t>Eydenzelt pfs 2mg/0.05mL</t>
    <phoneticPr fontId="1" type="noConversion"/>
  </si>
  <si>
    <t>밀봉용기, 냉장보관(2~9℃)</t>
  </si>
  <si>
    <t>26.03.09</t>
    <phoneticPr fontId="1" type="noConversion"/>
  </si>
  <si>
    <t>26.03.26</t>
    <phoneticPr fontId="1" type="noConversion"/>
  </si>
  <si>
    <t>XXHEXA6</t>
  </si>
  <si>
    <t>XXHEXA6</t>
    <phoneticPr fontId="1" type="noConversion"/>
  </si>
  <si>
    <t>Hexaxim pfs inj</t>
    <phoneticPr fontId="1" type="noConversion"/>
  </si>
  <si>
    <t>동결을 피하여 2~8 ℃에서 차광하여 냉장보관</t>
    <phoneticPr fontId="1" type="noConversion"/>
  </si>
  <si>
    <t>밀봉용기, 냉장(2~8℃)보관</t>
    <phoneticPr fontId="1" type="noConversion"/>
  </si>
  <si>
    <t>Hexaxim pfs inj</t>
    <phoneticPr fontId="1" type="noConversion"/>
  </si>
  <si>
    <t>동결을 피하여 2~8 ℃에서 차광하여 냉장보관</t>
    <phoneticPr fontId="1" type="noConversion"/>
  </si>
  <si>
    <t>XPNEUM20P</t>
    <phoneticPr fontId="1" type="noConversion"/>
  </si>
  <si>
    <t>Prevenar 20 pfs (소아)</t>
    <phoneticPr fontId="1" type="noConversion"/>
  </si>
  <si>
    <t>XPNEUM20P</t>
    <phoneticPr fontId="1" type="noConversion"/>
  </si>
  <si>
    <t>Prevenar 20 pfs (소아)</t>
    <phoneticPr fontId="1" type="noConversion"/>
  </si>
  <si>
    <t>이영찬</t>
    <phoneticPr fontId="1" type="noConversion"/>
  </si>
  <si>
    <t>26.04.14</t>
    <phoneticPr fontId="1" type="noConversion"/>
  </si>
  <si>
    <t>XBOTOX15</t>
    <phoneticPr fontId="1" type="noConversion"/>
  </si>
  <si>
    <t>Nabota 150U inj</t>
    <phoneticPr fontId="1" type="noConversion"/>
  </si>
  <si>
    <t>26.04.22</t>
    <phoneticPr fontId="1" type="noConversion"/>
  </si>
  <si>
    <t>XCRO2NS</t>
    <phoneticPr fontId="1" type="noConversion"/>
  </si>
  <si>
    <t>Triaxone mapset Kit 2g inj</t>
    <phoneticPr fontId="1" type="noConversion"/>
  </si>
  <si>
    <t>XCRO2NS</t>
    <phoneticPr fontId="1" type="noConversion"/>
  </si>
  <si>
    <t>Triaxone mapset kit 2g ijj</t>
    <phoneticPr fontId="1" type="noConversion"/>
  </si>
  <si>
    <t>26.04.30</t>
    <phoneticPr fontId="1" type="noConversion"/>
  </si>
  <si>
    <t>26.05.04</t>
    <phoneticPr fontId="1" type="noConversion"/>
  </si>
  <si>
    <t>XMPD1W</t>
    <phoneticPr fontId="1" type="noConversion"/>
  </si>
  <si>
    <t>Predisol 125mg inj</t>
    <phoneticPr fontId="1" type="noConversion"/>
  </si>
  <si>
    <t>실온보관,밀봉용기</t>
  </si>
  <si>
    <t>XXPCV21</t>
    <phoneticPr fontId="1" type="noConversion"/>
  </si>
  <si>
    <t>Capvaxive 21 pfs</t>
    <phoneticPr fontId="1" type="noConversion"/>
  </si>
  <si>
    <t>밀봉용기, 동결을 피하여 냉장(2~8℃) 보관, 차광 보관.</t>
    <phoneticPr fontId="1" type="noConversion"/>
  </si>
  <si>
    <t>XXDENOSU6</t>
    <phoneticPr fontId="1" type="noConversion"/>
  </si>
  <si>
    <t>Obodence 60mg pfs</t>
    <phoneticPr fontId="1" type="noConversion"/>
  </si>
  <si>
    <t>밀봉용기, 동결을 피하여 차광, 냉장(2 ~ 8 ℃) 보관</t>
    <phoneticPr fontId="1" type="noConversion"/>
  </si>
  <si>
    <t>26.05.22</t>
    <phoneticPr fontId="1" type="noConversion"/>
  </si>
  <si>
    <t>26.06.01</t>
    <phoneticPr fontId="1" type="noConversion"/>
  </si>
  <si>
    <t>GRASIN 300mcg/0.7ml pfs</t>
    <phoneticPr fontId="1" type="noConversion"/>
  </si>
  <si>
    <t>10℃이하에서 차광하여 보관, 동결은 피할것, 밀봉용기</t>
    <phoneticPr fontId="1" type="noConversion"/>
  </si>
  <si>
    <t>XDENOS12W</t>
    <phoneticPr fontId="1" type="noConversion"/>
  </si>
  <si>
    <t>Xbryk 120mg inj</t>
    <phoneticPr fontId="1" type="noConversion"/>
  </si>
  <si>
    <t>밀봉용기, 동결을 피하여 차광, 냉장(2 ~ 8 ℃) 보관</t>
    <phoneticPr fontId="1" type="noConversion"/>
  </si>
  <si>
    <t>XXFILG3</t>
    <phoneticPr fontId="1" type="noConversion"/>
  </si>
  <si>
    <t>Healon 10mg/ml 0.85ml inj</t>
    <phoneticPr fontId="1" type="noConversion"/>
  </si>
  <si>
    <t>26.06.08</t>
    <phoneticPr fontId="1" type="noConversion"/>
  </si>
  <si>
    <t>XBHYALU</t>
    <phoneticPr fontId="1" type="noConversion"/>
  </si>
  <si>
    <t>Tergase 1500IU inj</t>
    <phoneticPr fontId="1" type="noConversion"/>
  </si>
  <si>
    <t>밀봉용기, 차광하여 냉장(2~8℃)보관</t>
    <phoneticPr fontId="1" type="noConversion"/>
  </si>
  <si>
    <t>밀봉용기, 차광하여 냉장(2~8℃)보관</t>
    <phoneticPr fontId="1" type="noConversion"/>
  </si>
  <si>
    <t>26.06.10</t>
    <phoneticPr fontId="1" type="noConversion"/>
  </si>
  <si>
    <t>Pantoline 40mg inj</t>
    <phoneticPr fontId="1" type="noConversion"/>
  </si>
  <si>
    <t>2026.06.10</t>
    <phoneticPr fontId="1" type="noConversion"/>
  </si>
  <si>
    <t>26.06.17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</si>
</sst>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name val="맑은 고딕"/>
      <family val="3"/>
      <charset val="129"/>
    </font>
    <font>
      <sz val="10"/>
      <color rgb="FFFF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</cellStyleXfs>
  <cellXfs count="338">
    <xf numFmtId="0" fontId="0" fillId="0" borderId="0" xfId="0">
      <alignment vertical="center"/>
    </xf>
    <xf numFmtId="0" fontId="2" fillId="0" borderId="1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vertical="center" shrinkToFit="1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" fillId="2" borderId="1" xfId="0" applyNumberFormat="1" applyFont="1" applyFill="1" applyBorder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1" fontId="2" fillId="2" borderId="1" xfId="0" applyNumberFormat="1" applyFont="1" applyFill="1" applyBorder="1" applyAlignment="1">
      <alignment vertical="center" shrinkToFit="1"/>
    </xf>
    <xf numFmtId="49" fontId="2" fillId="2" borderId="1" xfId="0" applyNumberFormat="1" applyFont="1" applyFill="1" applyBorder="1" applyAlignment="1">
      <alignment vertical="center" shrinkToFit="1"/>
    </xf>
    <xf numFmtId="0" fontId="2" fillId="2" borderId="1" xfId="1" applyFont="1" applyFill="1" applyBorder="1" applyAlignment="1">
      <alignment vertical="center" shrinkToFit="1"/>
    </xf>
    <xf numFmtId="0" fontId="2" fillId="2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3" borderId="1" xfId="0" applyNumberFormat="1" applyFont="1" applyFill="1" applyBorder="1" applyAlignment="1">
      <alignment vertical="center" shrinkToFit="1"/>
    </xf>
    <xf numFmtId="49" fontId="2" fillId="3" borderId="1" xfId="0" applyNumberFormat="1" applyFont="1" applyFill="1" applyBorder="1" applyAlignment="1">
      <alignment vertical="center" shrinkToFit="1"/>
    </xf>
    <xf numFmtId="1" fontId="2" fillId="3" borderId="1" xfId="0" applyNumberFormat="1" applyFont="1" applyFill="1" applyBorder="1" applyAlignment="1">
      <alignment vertical="center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4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shrinkToFit="1"/>
    </xf>
    <xf numFmtId="0" fontId="2" fillId="3" borderId="8" xfId="0" applyNumberFormat="1" applyFont="1" applyFill="1" applyBorder="1" applyAlignment="1">
      <alignment vertical="center" shrinkToFit="1"/>
    </xf>
    <xf numFmtId="0" fontId="2" fillId="2" borderId="8" xfId="0" applyNumberFormat="1" applyFont="1" applyFill="1" applyBorder="1" applyAlignment="1">
      <alignment vertical="center" shrinkToFit="1"/>
    </xf>
    <xf numFmtId="0" fontId="2" fillId="2" borderId="8" xfId="0" applyFont="1" applyFill="1" applyBorder="1" applyAlignment="1">
      <alignment vertical="center" shrinkToFit="1"/>
    </xf>
    <xf numFmtId="1" fontId="2" fillId="2" borderId="8" xfId="0" applyNumberFormat="1" applyFont="1" applyFill="1" applyBorder="1" applyAlignment="1">
      <alignment vertical="center" shrinkToFit="1"/>
    </xf>
    <xf numFmtId="0" fontId="2" fillId="3" borderId="8" xfId="0" applyFont="1" applyFill="1" applyBorder="1" applyAlignment="1">
      <alignment vertical="center" shrinkToFit="1"/>
    </xf>
    <xf numFmtId="1" fontId="2" fillId="2" borderId="8" xfId="1" applyNumberFormat="1" applyFont="1" applyFill="1" applyBorder="1" applyAlignment="1">
      <alignment vertical="center" shrinkToFit="1"/>
    </xf>
    <xf numFmtId="0" fontId="2" fillId="2" borderId="8" xfId="1" applyNumberFormat="1" applyFont="1" applyFill="1" applyBorder="1" applyAlignment="1">
      <alignment vertical="center" shrinkToFit="1"/>
    </xf>
    <xf numFmtId="0" fontId="2" fillId="2" borderId="8" xfId="1" applyFont="1" applyFill="1" applyBorder="1" applyAlignment="1">
      <alignment vertical="center" shrinkToFit="1"/>
    </xf>
    <xf numFmtId="0" fontId="2" fillId="2" borderId="10" xfId="0" applyNumberFormat="1" applyFont="1" applyFill="1" applyBorder="1" applyAlignment="1">
      <alignment vertical="center" shrinkToFit="1"/>
    </xf>
    <xf numFmtId="0" fontId="2" fillId="2" borderId="8" xfId="0" applyFont="1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6" fillId="2" borderId="6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shrinkToFit="1"/>
    </xf>
    <xf numFmtId="1" fontId="2" fillId="3" borderId="8" xfId="0" applyNumberFormat="1" applyFont="1" applyFill="1" applyBorder="1" applyAlignment="1">
      <alignment vertical="center" shrinkToFit="1"/>
    </xf>
    <xf numFmtId="0" fontId="2" fillId="2" borderId="13" xfId="0" applyNumberFormat="1" applyFont="1" applyFill="1" applyBorder="1" applyAlignment="1">
      <alignment vertical="center" shrinkToFit="1"/>
    </xf>
    <xf numFmtId="0" fontId="2" fillId="2" borderId="14" xfId="0" applyFont="1" applyFill="1" applyBorder="1" applyAlignment="1">
      <alignment vertical="center" shrinkToFit="1"/>
    </xf>
    <xf numFmtId="0" fontId="2" fillId="2" borderId="16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 shrinkToFit="1"/>
    </xf>
    <xf numFmtId="0" fontId="4" fillId="2" borderId="17" xfId="0" applyFont="1" applyFill="1" applyBorder="1" applyAlignment="1">
      <alignment horizontal="center" vertical="center" wrapText="1" shrinkToFit="1"/>
    </xf>
    <xf numFmtId="0" fontId="4" fillId="0" borderId="17" xfId="0" applyFont="1" applyFill="1" applyBorder="1" applyAlignment="1">
      <alignment horizontal="center" vertical="center" wrapText="1" shrinkToFit="1"/>
    </xf>
    <xf numFmtId="0" fontId="4" fillId="2" borderId="19" xfId="0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0" fontId="2" fillId="3" borderId="8" xfId="0" applyFont="1" applyFill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 shrinkToFit="1"/>
    </xf>
    <xf numFmtId="0" fontId="0" fillId="0" borderId="23" xfId="0" applyBorder="1">
      <alignment vertical="center"/>
    </xf>
    <xf numFmtId="0" fontId="2" fillId="0" borderId="23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shrinkToFit="1"/>
    </xf>
    <xf numFmtId="0" fontId="4" fillId="2" borderId="16" xfId="0" applyFont="1" applyFill="1" applyBorder="1" applyAlignment="1">
      <alignment horizontal="center" vertical="center" shrinkToFit="1"/>
    </xf>
    <xf numFmtId="0" fontId="0" fillId="0" borderId="16" xfId="0" applyBorder="1">
      <alignment vertical="center"/>
    </xf>
    <xf numFmtId="0" fontId="2" fillId="2" borderId="5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2" fillId="0" borderId="6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wrapText="1" shrinkToFit="1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 shrinkToFi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3" borderId="1" xfId="0" applyFont="1" applyFill="1" applyBorder="1" applyAlignment="1">
      <alignment horizontal="left" vertical="center" shrinkToFit="1"/>
    </xf>
    <xf numFmtId="0" fontId="9" fillId="3" borderId="0" xfId="0" applyFont="1" applyFill="1">
      <alignment vertical="center"/>
    </xf>
    <xf numFmtId="0" fontId="8" fillId="3" borderId="0" xfId="0" applyFont="1" applyFill="1" applyAlignment="1">
      <alignment vertical="center" shrinkToFit="1"/>
    </xf>
    <xf numFmtId="0" fontId="1" fillId="3" borderId="16" xfId="0" applyFont="1" applyFill="1" applyBorder="1" applyAlignment="1">
      <alignment horizontal="center" vertical="center" shrinkToFit="1"/>
    </xf>
    <xf numFmtId="0" fontId="6" fillId="3" borderId="8" xfId="0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 wrapText="1" shrinkToFit="1"/>
    </xf>
    <xf numFmtId="0" fontId="0" fillId="3" borderId="0" xfId="0" applyFill="1">
      <alignment vertical="center"/>
    </xf>
    <xf numFmtId="0" fontId="2" fillId="2" borderId="23" xfId="0" applyFont="1" applyFill="1" applyBorder="1" applyAlignment="1">
      <alignment horizontal="center" vertical="center" shrinkToFit="1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2" fillId="3" borderId="23" xfId="0" applyFont="1" applyFill="1" applyBorder="1" applyAlignment="1">
      <alignment horizontal="center" vertical="center" shrinkToFit="1"/>
    </xf>
    <xf numFmtId="0" fontId="4" fillId="2" borderId="23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wrapText="1" shrinkToFit="1"/>
    </xf>
    <xf numFmtId="0" fontId="2" fillId="2" borderId="23" xfId="0" applyNumberFormat="1" applyFont="1" applyFill="1" applyBorder="1" applyAlignment="1">
      <alignment vertical="center" shrinkToFit="1"/>
    </xf>
    <xf numFmtId="0" fontId="2" fillId="2" borderId="23" xfId="0" applyFont="1" applyFill="1" applyBorder="1" applyAlignment="1">
      <alignment vertical="center" shrinkToFit="1"/>
    </xf>
    <xf numFmtId="0" fontId="2" fillId="0" borderId="23" xfId="0" applyFont="1" applyFill="1" applyBorder="1" applyAlignment="1">
      <alignment horizontal="center" vertical="center" shrinkToFit="1"/>
    </xf>
    <xf numFmtId="0" fontId="2" fillId="3" borderId="23" xfId="0" applyNumberFormat="1" applyFont="1" applyFill="1" applyBorder="1" applyAlignment="1">
      <alignment vertical="center" shrinkToFit="1"/>
    </xf>
    <xf numFmtId="0" fontId="2" fillId="3" borderId="23" xfId="0" applyFont="1" applyFill="1" applyBorder="1" applyAlignment="1">
      <alignment vertical="center" shrinkToFit="1"/>
    </xf>
    <xf numFmtId="0" fontId="2" fillId="0" borderId="23" xfId="0" applyFont="1" applyBorder="1">
      <alignment vertical="center"/>
    </xf>
    <xf numFmtId="0" fontId="2" fillId="2" borderId="26" xfId="0" applyFont="1" applyFill="1" applyBorder="1" applyAlignment="1">
      <alignment vertical="center" shrinkToFit="1"/>
    </xf>
    <xf numFmtId="0" fontId="2" fillId="2" borderId="25" xfId="0" applyFont="1" applyFill="1" applyBorder="1" applyAlignment="1">
      <alignment vertical="center" shrinkToFit="1"/>
    </xf>
    <xf numFmtId="0" fontId="4" fillId="2" borderId="29" xfId="0" applyFont="1" applyFill="1" applyBorder="1" applyAlignment="1">
      <alignment horizontal="center" vertical="center" wrapText="1" shrinkToFit="1"/>
    </xf>
    <xf numFmtId="0" fontId="2" fillId="2" borderId="28" xfId="0" applyNumberFormat="1" applyFont="1" applyFill="1" applyBorder="1" applyAlignment="1">
      <alignment vertical="center" shrinkToFit="1"/>
    </xf>
    <xf numFmtId="0" fontId="2" fillId="2" borderId="28" xfId="0" applyFont="1" applyFill="1" applyBorder="1" applyAlignment="1">
      <alignment vertical="center" shrinkToFit="1"/>
    </xf>
    <xf numFmtId="0" fontId="2" fillId="0" borderId="28" xfId="0" applyFont="1" applyFill="1" applyBorder="1" applyAlignment="1">
      <alignment horizontal="center" vertical="center" shrinkToFit="1"/>
    </xf>
    <xf numFmtId="0" fontId="2" fillId="2" borderId="28" xfId="0" applyFont="1" applyFill="1" applyBorder="1" applyAlignment="1">
      <alignment horizontal="center" vertical="center" shrinkToFit="1"/>
    </xf>
    <xf numFmtId="0" fontId="2" fillId="3" borderId="28" xfId="0" applyNumberFormat="1" applyFont="1" applyFill="1" applyBorder="1" applyAlignment="1">
      <alignment vertical="center" shrinkToFit="1"/>
    </xf>
    <xf numFmtId="0" fontId="2" fillId="3" borderId="28" xfId="0" applyFont="1" applyFill="1" applyBorder="1" applyAlignment="1">
      <alignment vertical="center" shrinkToFit="1"/>
    </xf>
    <xf numFmtId="0" fontId="2" fillId="3" borderId="28" xfId="0" applyFont="1" applyFill="1" applyBorder="1" applyAlignment="1">
      <alignment horizontal="center" vertical="center" shrinkToFit="1"/>
    </xf>
    <xf numFmtId="1" fontId="2" fillId="2" borderId="28" xfId="0" applyNumberFormat="1" applyFont="1" applyFill="1" applyBorder="1" applyAlignment="1">
      <alignment vertical="center" shrinkToFit="1"/>
    </xf>
    <xf numFmtId="0" fontId="4" fillId="2" borderId="30" xfId="0" applyFont="1" applyFill="1" applyBorder="1" applyAlignment="1">
      <alignment horizontal="center" vertical="center" shrinkToFit="1"/>
    </xf>
    <xf numFmtId="0" fontId="4" fillId="2" borderId="30" xfId="0" applyFont="1" applyFill="1" applyBorder="1" applyAlignment="1">
      <alignment horizontal="center" vertical="center" wrapText="1" shrinkToFit="1"/>
    </xf>
    <xf numFmtId="0" fontId="6" fillId="2" borderId="30" xfId="0" applyFont="1" applyFill="1" applyBorder="1" applyAlignment="1">
      <alignment horizontal="center" vertical="center" wrapText="1" shrinkToFit="1"/>
    </xf>
    <xf numFmtId="0" fontId="2" fillId="0" borderId="25" xfId="0" applyFont="1" applyBorder="1">
      <alignment vertical="center"/>
    </xf>
    <xf numFmtId="0" fontId="2" fillId="2" borderId="26" xfId="0" applyNumberFormat="1" applyFont="1" applyFill="1" applyBorder="1" applyAlignment="1">
      <alignment vertical="center" shrinkToFit="1"/>
    </xf>
    <xf numFmtId="1" fontId="2" fillId="2" borderId="26" xfId="0" applyNumberFormat="1" applyFont="1" applyFill="1" applyBorder="1" applyAlignment="1">
      <alignment vertical="center" shrinkToFit="1"/>
    </xf>
    <xf numFmtId="0" fontId="2" fillId="2" borderId="26" xfId="0" applyFont="1" applyFill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 shrinkToFit="1"/>
    </xf>
    <xf numFmtId="49" fontId="2" fillId="2" borderId="28" xfId="0" applyNumberFormat="1" applyFont="1" applyFill="1" applyBorder="1" applyAlignment="1">
      <alignment vertical="center" shrinkToFit="1"/>
    </xf>
    <xf numFmtId="0" fontId="1" fillId="2" borderId="29" xfId="0" applyFont="1" applyFill="1" applyBorder="1" applyAlignment="1">
      <alignment horizontal="center" vertical="center" wrapText="1" shrinkToFit="1"/>
    </xf>
    <xf numFmtId="0" fontId="2" fillId="3" borderId="29" xfId="0" applyNumberFormat="1" applyFont="1" applyFill="1" applyBorder="1" applyAlignment="1">
      <alignment vertical="center" shrinkToFit="1"/>
    </xf>
    <xf numFmtId="0" fontId="2" fillId="3" borderId="29" xfId="0" applyFont="1" applyFill="1" applyBorder="1" applyAlignment="1">
      <alignment vertical="center" shrinkToFit="1"/>
    </xf>
    <xf numFmtId="0" fontId="2" fillId="3" borderId="29" xfId="0" applyFont="1" applyFill="1" applyBorder="1" applyAlignment="1">
      <alignment horizontal="center" vertical="center" shrinkToFit="1"/>
    </xf>
    <xf numFmtId="0" fontId="2" fillId="0" borderId="29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vertical="center" shrinkToFit="1"/>
    </xf>
    <xf numFmtId="0" fontId="2" fillId="2" borderId="29" xfId="0" applyFont="1" applyFill="1" applyBorder="1" applyAlignment="1">
      <alignment horizontal="center" vertical="center" shrinkToFit="1"/>
    </xf>
    <xf numFmtId="1" fontId="2" fillId="3" borderId="28" xfId="0" applyNumberFormat="1" applyFont="1" applyFill="1" applyBorder="1" applyAlignment="1">
      <alignment vertical="center" shrinkToFit="1"/>
    </xf>
    <xf numFmtId="0" fontId="2" fillId="2" borderId="25" xfId="0" applyNumberFormat="1" applyFont="1" applyFill="1" applyBorder="1" applyAlignment="1">
      <alignment vertical="center" shrinkToFit="1"/>
    </xf>
    <xf numFmtId="0" fontId="2" fillId="2" borderId="29" xfId="0" applyNumberFormat="1" applyFont="1" applyFill="1" applyBorder="1" applyAlignment="1">
      <alignment vertical="center" shrinkToFit="1"/>
    </xf>
    <xf numFmtId="1" fontId="2" fillId="3" borderId="26" xfId="0" applyNumberFormat="1" applyFont="1" applyFill="1" applyBorder="1" applyAlignment="1">
      <alignment vertical="center" shrinkToFit="1"/>
    </xf>
    <xf numFmtId="0" fontId="2" fillId="3" borderId="26" xfId="0" applyFont="1" applyFill="1" applyBorder="1" applyAlignment="1">
      <alignment horizontal="center" vertical="center" shrinkToFit="1"/>
    </xf>
    <xf numFmtId="0" fontId="4" fillId="0" borderId="29" xfId="0" applyFont="1" applyFill="1" applyBorder="1" applyAlignment="1">
      <alignment horizontal="center" vertical="center" wrapText="1" shrinkToFit="1"/>
    </xf>
    <xf numFmtId="0" fontId="8" fillId="0" borderId="29" xfId="0" applyFont="1" applyFill="1" applyBorder="1">
      <alignment vertical="center"/>
    </xf>
    <xf numFmtId="0" fontId="9" fillId="0" borderId="29" xfId="0" applyFont="1" applyFill="1" applyBorder="1">
      <alignment vertical="center"/>
    </xf>
    <xf numFmtId="0" fontId="2" fillId="0" borderId="28" xfId="0" applyNumberFormat="1" applyFont="1" applyFill="1" applyBorder="1" applyAlignment="1">
      <alignment vertical="center" shrinkToFit="1"/>
    </xf>
    <xf numFmtId="0" fontId="2" fillId="0" borderId="28" xfId="0" applyFont="1" applyFill="1" applyBorder="1" applyAlignment="1">
      <alignment vertical="center" shrinkToFit="1"/>
    </xf>
    <xf numFmtId="0" fontId="2" fillId="0" borderId="29" xfId="0" applyNumberFormat="1" applyFont="1" applyFill="1" applyBorder="1" applyAlignment="1">
      <alignment vertical="center" shrinkToFit="1"/>
    </xf>
    <xf numFmtId="0" fontId="2" fillId="0" borderId="29" xfId="0" applyFont="1" applyFill="1" applyBorder="1" applyAlignment="1">
      <alignment vertical="center" shrinkToFit="1"/>
    </xf>
    <xf numFmtId="0" fontId="2" fillId="0" borderId="28" xfId="0" applyFont="1" applyFill="1" applyBorder="1">
      <alignment vertical="center"/>
    </xf>
    <xf numFmtId="0" fontId="8" fillId="0" borderId="28" xfId="0" applyFont="1" applyFill="1" applyBorder="1">
      <alignment vertical="center"/>
    </xf>
    <xf numFmtId="0" fontId="6" fillId="2" borderId="24" xfId="0" applyFont="1" applyFill="1" applyBorder="1" applyAlignment="1">
      <alignment horizontal="center" vertical="center" wrapText="1" shrinkToFit="1"/>
    </xf>
    <xf numFmtId="0" fontId="2" fillId="0" borderId="11" xfId="0" applyFont="1" applyBorder="1">
      <alignment vertical="center"/>
    </xf>
    <xf numFmtId="1" fontId="2" fillId="0" borderId="28" xfId="0" applyNumberFormat="1" applyFont="1" applyFill="1" applyBorder="1" applyAlignment="1">
      <alignment vertical="center" shrinkToFit="1"/>
    </xf>
    <xf numFmtId="0" fontId="2" fillId="0" borderId="26" xfId="0" applyFont="1" applyFill="1" applyBorder="1" applyAlignment="1">
      <alignment vertical="center" shrinkToFit="1"/>
    </xf>
    <xf numFmtId="1" fontId="2" fillId="0" borderId="26" xfId="0" applyNumberFormat="1" applyFont="1" applyFill="1" applyBorder="1" applyAlignment="1">
      <alignment vertical="center" shrinkToFit="1"/>
    </xf>
    <xf numFmtId="0" fontId="2" fillId="0" borderId="26" xfId="0" applyFont="1" applyFill="1" applyBorder="1" applyAlignment="1">
      <alignment horizontal="center" vertical="center" shrinkToFit="1"/>
    </xf>
    <xf numFmtId="0" fontId="2" fillId="0" borderId="8" xfId="0" applyFont="1" applyFill="1" applyBorder="1" applyAlignment="1">
      <alignment vertical="center" shrinkToFit="1"/>
    </xf>
    <xf numFmtId="0" fontId="1" fillId="2" borderId="29" xfId="0" applyFont="1" applyFill="1" applyBorder="1" applyAlignment="1">
      <alignment horizontal="right" vertical="center" wrapText="1" shrinkToFit="1"/>
    </xf>
    <xf numFmtId="1" fontId="2" fillId="2" borderId="28" xfId="1" applyNumberFormat="1" applyFont="1" applyFill="1" applyBorder="1" applyAlignment="1">
      <alignment vertical="center" shrinkToFit="1"/>
    </xf>
    <xf numFmtId="0" fontId="2" fillId="2" borderId="28" xfId="1" applyFont="1" applyFill="1" applyBorder="1" applyAlignment="1">
      <alignment vertical="center" shrinkToFit="1"/>
    </xf>
    <xf numFmtId="0" fontId="4" fillId="2" borderId="28" xfId="0" applyFont="1" applyFill="1" applyBorder="1" applyAlignment="1">
      <alignment horizontal="center" vertical="center" wrapText="1" shrinkToFit="1"/>
    </xf>
    <xf numFmtId="0" fontId="8" fillId="0" borderId="28" xfId="0" applyFont="1" applyBorder="1">
      <alignment vertical="center"/>
    </xf>
    <xf numFmtId="0" fontId="1" fillId="0" borderId="29" xfId="0" applyFont="1" applyFill="1" applyBorder="1" applyAlignment="1">
      <alignment horizontal="center" vertical="center" wrapText="1" shrinkToFit="1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6" xfId="0" applyNumberFormat="1" applyFont="1" applyFill="1" applyBorder="1" applyAlignment="1">
      <alignment vertical="center" shrinkToFit="1"/>
    </xf>
    <xf numFmtId="0" fontId="2" fillId="2" borderId="28" xfId="0" applyNumberFormat="1" applyFont="1" applyFill="1" applyBorder="1" applyAlignment="1">
      <alignment horizontal="center" vertical="center" shrinkToFit="1"/>
    </xf>
    <xf numFmtId="0" fontId="9" fillId="0" borderId="28" xfId="0" applyFont="1" applyBorder="1">
      <alignment vertical="center"/>
    </xf>
    <xf numFmtId="0" fontId="6" fillId="2" borderId="30" xfId="0" applyFont="1" applyFill="1" applyBorder="1" applyAlignment="1">
      <alignment horizontal="center" vertical="center" shrinkToFit="1"/>
    </xf>
    <xf numFmtId="0" fontId="1" fillId="2" borderId="28" xfId="0" applyFont="1" applyFill="1" applyBorder="1" applyAlignment="1">
      <alignment horizontal="left" vertical="center" wrapText="1" shrinkToFit="1"/>
    </xf>
    <xf numFmtId="0" fontId="2" fillId="2" borderId="28" xfId="0" applyFont="1" applyFill="1" applyBorder="1" applyAlignment="1">
      <alignment horizontal="left" vertical="center" wrapText="1" shrinkToFit="1"/>
    </xf>
    <xf numFmtId="0" fontId="1" fillId="2" borderId="28" xfId="0" applyFont="1" applyFill="1" applyBorder="1" applyAlignment="1">
      <alignment horizontal="center" vertical="center" shrinkToFit="1"/>
    </xf>
    <xf numFmtId="49" fontId="2" fillId="3" borderId="28" xfId="0" applyNumberFormat="1" applyFont="1" applyFill="1" applyBorder="1" applyAlignment="1">
      <alignment vertical="center" shrinkToFit="1"/>
    </xf>
    <xf numFmtId="0" fontId="1" fillId="2" borderId="29" xfId="0" applyFont="1" applyFill="1" applyBorder="1" applyAlignment="1">
      <alignment horizontal="left" vertical="center" wrapText="1" shrinkToFit="1"/>
    </xf>
    <xf numFmtId="0" fontId="2" fillId="2" borderId="29" xfId="0" applyFont="1" applyFill="1" applyBorder="1" applyAlignment="1">
      <alignment horizontal="left" vertical="center" wrapText="1" shrinkToFit="1"/>
    </xf>
    <xf numFmtId="49" fontId="2" fillId="0" borderId="28" xfId="0" applyNumberFormat="1" applyFont="1" applyFill="1" applyBorder="1" applyAlignment="1">
      <alignment vertical="center" shrinkToFit="1"/>
    </xf>
    <xf numFmtId="0" fontId="9" fillId="0" borderId="28" xfId="0" applyFont="1" applyFill="1" applyBorder="1">
      <alignment vertical="center"/>
    </xf>
    <xf numFmtId="1" fontId="2" fillId="0" borderId="28" xfId="1" applyNumberFormat="1" applyFont="1" applyFill="1" applyBorder="1" applyAlignment="1">
      <alignment vertical="center" shrinkToFit="1"/>
    </xf>
    <xf numFmtId="0" fontId="2" fillId="0" borderId="28" xfId="1" applyFont="1" applyFill="1" applyBorder="1" applyAlignment="1">
      <alignment vertical="center" shrinkToFit="1"/>
    </xf>
    <xf numFmtId="0" fontId="2" fillId="2" borderId="25" xfId="0" applyFont="1" applyFill="1" applyBorder="1" applyAlignment="1">
      <alignment horizontal="center" vertical="center" shrinkToFit="1"/>
    </xf>
    <xf numFmtId="0" fontId="1" fillId="0" borderId="28" xfId="0" applyFont="1" applyFill="1" applyBorder="1" applyAlignment="1">
      <alignment horizontal="center" vertical="center" wrapText="1" shrinkToFit="1"/>
    </xf>
    <xf numFmtId="0" fontId="1" fillId="0" borderId="29" xfId="0" applyFont="1" applyFill="1" applyBorder="1" applyAlignment="1">
      <alignment horizontal="left" vertical="center" shrinkToFit="1"/>
    </xf>
    <xf numFmtId="0" fontId="2" fillId="0" borderId="29" xfId="0" applyFont="1" applyFill="1" applyBorder="1" applyAlignment="1">
      <alignment horizontal="left" vertical="center" shrinkToFit="1"/>
    </xf>
    <xf numFmtId="0" fontId="2" fillId="3" borderId="26" xfId="0" applyFont="1" applyFill="1" applyBorder="1" applyAlignment="1">
      <alignment horizontal="left" vertical="center" shrinkToFit="1"/>
    </xf>
    <xf numFmtId="0" fontId="1" fillId="0" borderId="29" xfId="0" applyFont="1" applyFill="1" applyBorder="1" applyAlignment="1">
      <alignment horizontal="right" vertical="center" wrapText="1" shrinkToFit="1"/>
    </xf>
    <xf numFmtId="0" fontId="1" fillId="0" borderId="28" xfId="0" applyFont="1" applyFill="1" applyBorder="1" applyAlignment="1">
      <alignment horizontal="right" vertical="center" wrapText="1" shrinkToFit="1"/>
    </xf>
    <xf numFmtId="0" fontId="2" fillId="0" borderId="28" xfId="0" applyNumberFormat="1" applyFont="1" applyFill="1" applyBorder="1" applyAlignment="1">
      <alignment horizontal="left" vertical="center" shrinkToFit="1"/>
    </xf>
    <xf numFmtId="0" fontId="1" fillId="0" borderId="26" xfId="0" applyFont="1" applyFill="1" applyBorder="1" applyAlignment="1">
      <alignment horizontal="right" vertical="center" wrapText="1" shrinkToFit="1"/>
    </xf>
    <xf numFmtId="0" fontId="2" fillId="0" borderId="0" xfId="0" applyFont="1" applyAlignment="1">
      <alignment horizontal="center" vertical="center"/>
    </xf>
    <xf numFmtId="0" fontId="2" fillId="0" borderId="23" xfId="0" applyNumberFormat="1" applyFont="1" applyFill="1" applyBorder="1" applyAlignment="1">
      <alignment vertical="center" shrinkToFit="1"/>
    </xf>
    <xf numFmtId="0" fontId="2" fillId="0" borderId="23" xfId="0" applyFont="1" applyFill="1" applyBorder="1" applyAlignment="1">
      <alignment vertical="center" shrinkToFit="1"/>
    </xf>
    <xf numFmtId="0" fontId="0" fillId="3" borderId="23" xfId="0" applyFill="1" applyBorder="1">
      <alignment vertical="center"/>
    </xf>
    <xf numFmtId="0" fontId="7" fillId="0" borderId="25" xfId="0" applyFont="1" applyBorder="1" applyAlignment="1">
      <alignment horizontal="center" vertical="center"/>
    </xf>
    <xf numFmtId="0" fontId="1" fillId="0" borderId="29" xfId="0" applyFont="1" applyFill="1" applyBorder="1" applyAlignment="1">
      <alignment horizontal="right" vertical="center" shrinkToFit="1"/>
    </xf>
    <xf numFmtId="0" fontId="7" fillId="0" borderId="29" xfId="0" applyFont="1" applyFill="1" applyBorder="1" applyAlignment="1">
      <alignment horizontal="left" vertical="center" shrinkToFit="1"/>
    </xf>
    <xf numFmtId="0" fontId="7" fillId="0" borderId="29" xfId="0" applyFont="1" applyFill="1" applyBorder="1" applyAlignment="1">
      <alignment horizontal="center" vertical="center" shrinkToFit="1"/>
    </xf>
    <xf numFmtId="0" fontId="2" fillId="3" borderId="26" xfId="0" applyNumberFormat="1" applyFont="1" applyFill="1" applyBorder="1" applyAlignment="1">
      <alignment horizontal="left" vertical="center" shrinkToFit="1"/>
    </xf>
    <xf numFmtId="0" fontId="7" fillId="3" borderId="26" xfId="0" applyFont="1" applyFill="1" applyBorder="1" applyAlignment="1">
      <alignment horizontal="left" vertical="center" shrinkToFit="1"/>
    </xf>
    <xf numFmtId="0" fontId="7" fillId="3" borderId="26" xfId="0" applyFont="1" applyFill="1" applyBorder="1" applyAlignment="1">
      <alignment horizontal="center" vertical="center" shrinkToFit="1"/>
    </xf>
    <xf numFmtId="0" fontId="2" fillId="0" borderId="27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2" fillId="0" borderId="32" xfId="0" applyFont="1" applyFill="1" applyBorder="1" applyAlignment="1">
      <alignment horizontal="center" vertical="center" shrinkToFit="1"/>
    </xf>
    <xf numFmtId="0" fontId="2" fillId="0" borderId="28" xfId="1" applyNumberFormat="1" applyFont="1" applyFill="1" applyBorder="1" applyAlignment="1">
      <alignment vertical="center" shrinkToFi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2" fillId="0" borderId="16" xfId="0" applyFont="1" applyFill="1" applyBorder="1" applyAlignment="1">
      <alignment horizontal="center" vertical="center" shrinkToFit="1"/>
    </xf>
    <xf numFmtId="0" fontId="2" fillId="0" borderId="8" xfId="0" applyFont="1" applyFill="1" applyBorder="1" applyAlignment="1">
      <alignment horizontal="center" vertical="center" shrinkToFit="1"/>
    </xf>
    <xf numFmtId="0" fontId="2" fillId="0" borderId="7" xfId="0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3" borderId="29" xfId="0" applyFont="1" applyFill="1" applyBorder="1" applyAlignment="1">
      <alignment horizontal="center" vertical="center" wrapText="1" shrinkToFit="1"/>
    </xf>
    <xf numFmtId="0" fontId="2" fillId="2" borderId="29" xfId="0" applyFont="1" applyFill="1" applyBorder="1" applyAlignment="1">
      <alignment horizontal="right" vertical="center" wrapText="1" shrinkToFit="1"/>
    </xf>
    <xf numFmtId="0" fontId="2" fillId="2" borderId="28" xfId="0" applyFont="1" applyFill="1" applyBorder="1" applyAlignment="1">
      <alignment horizontal="right" vertical="center" wrapText="1" shrinkToFit="1"/>
    </xf>
    <xf numFmtId="0" fontId="2" fillId="0" borderId="31" xfId="0" applyFont="1" applyFill="1" applyBorder="1" applyAlignment="1">
      <alignment horizontal="center" vertical="center" shrinkToFit="1"/>
    </xf>
    <xf numFmtId="0" fontId="2" fillId="2" borderId="16" xfId="0" applyFont="1" applyFill="1" applyBorder="1" applyAlignment="1">
      <alignment vertical="center" shrinkToFit="1"/>
    </xf>
    <xf numFmtId="0" fontId="2" fillId="2" borderId="33" xfId="0" applyFont="1" applyFill="1" applyBorder="1" applyAlignment="1">
      <alignment vertical="center" shrinkToFit="1"/>
    </xf>
    <xf numFmtId="0" fontId="2" fillId="2" borderId="34" xfId="0" applyFont="1" applyFill="1" applyBorder="1" applyAlignment="1">
      <alignment vertical="center" shrinkToFit="1"/>
    </xf>
    <xf numFmtId="0" fontId="2" fillId="0" borderId="35" xfId="0" applyFont="1" applyFill="1" applyBorder="1" applyAlignment="1">
      <alignment vertical="center" shrinkToFit="1"/>
    </xf>
    <xf numFmtId="0" fontId="2" fillId="3" borderId="35" xfId="0" applyFont="1" applyFill="1" applyBorder="1" applyAlignment="1">
      <alignment vertical="center" shrinkToFit="1"/>
    </xf>
    <xf numFmtId="0" fontId="2" fillId="2" borderId="35" xfId="0" applyFont="1" applyFill="1" applyBorder="1" applyAlignment="1">
      <alignment vertical="center" shrinkToFit="1"/>
    </xf>
    <xf numFmtId="0" fontId="8" fillId="0" borderId="35" xfId="0" applyFont="1" applyFill="1" applyBorder="1" applyAlignment="1">
      <alignment vertical="center" shrinkToFit="1"/>
    </xf>
    <xf numFmtId="49" fontId="2" fillId="3" borderId="16" xfId="0" applyNumberFormat="1" applyFont="1" applyFill="1" applyBorder="1" applyAlignment="1">
      <alignment vertical="center" shrinkToFit="1"/>
    </xf>
    <xf numFmtId="1" fontId="2" fillId="0" borderId="35" xfId="0" applyNumberFormat="1" applyFont="1" applyFill="1" applyBorder="1" applyAlignment="1">
      <alignment vertical="center" shrinkToFit="1"/>
    </xf>
    <xf numFmtId="0" fontId="2" fillId="0" borderId="36" xfId="0" applyFont="1" applyFill="1" applyBorder="1" applyAlignment="1">
      <alignment vertical="center" shrinkToFit="1"/>
    </xf>
    <xf numFmtId="0" fontId="2" fillId="2" borderId="37" xfId="0" applyNumberFormat="1" applyFont="1" applyFill="1" applyBorder="1" applyAlignment="1">
      <alignment vertical="center" shrinkToFit="1"/>
    </xf>
    <xf numFmtId="0" fontId="2" fillId="0" borderId="38" xfId="0" applyFont="1" applyFill="1" applyBorder="1" applyAlignment="1">
      <alignment vertical="center" shrinkToFit="1"/>
    </xf>
    <xf numFmtId="0" fontId="2" fillId="3" borderId="38" xfId="0" applyFont="1" applyFill="1" applyBorder="1" applyAlignment="1">
      <alignment vertical="center" shrinkToFit="1"/>
    </xf>
    <xf numFmtId="0" fontId="2" fillId="2" borderId="38" xfId="0" applyFont="1" applyFill="1" applyBorder="1" applyAlignment="1">
      <alignment vertical="center" shrinkToFit="1"/>
    </xf>
    <xf numFmtId="0" fontId="2" fillId="3" borderId="33" xfId="0" applyFont="1" applyFill="1" applyBorder="1" applyAlignment="1">
      <alignment vertical="center" shrinkToFit="1"/>
    </xf>
    <xf numFmtId="1" fontId="2" fillId="0" borderId="38" xfId="0" applyNumberFormat="1" applyFont="1" applyFill="1" applyBorder="1" applyAlignment="1">
      <alignment vertical="center" shrinkToFit="1"/>
    </xf>
    <xf numFmtId="0" fontId="2" fillId="0" borderId="39" xfId="0" applyFont="1" applyFill="1" applyBorder="1" applyAlignment="1">
      <alignment vertical="center" shrinkToFit="1"/>
    </xf>
    <xf numFmtId="0" fontId="2" fillId="3" borderId="9" xfId="0" applyFont="1" applyFill="1" applyBorder="1" applyAlignment="1">
      <alignment vertical="center" shrinkToFit="1"/>
    </xf>
    <xf numFmtId="0" fontId="0" fillId="0" borderId="28" xfId="0" applyBorder="1">
      <alignment vertical="center"/>
    </xf>
    <xf numFmtId="0" fontId="11" fillId="0" borderId="28" xfId="0" applyFont="1" applyFill="1" applyBorder="1" applyAlignment="1">
      <alignment horizontal="center" vertical="center" shrinkToFit="1"/>
    </xf>
    <xf numFmtId="0" fontId="2" fillId="4" borderId="28" xfId="0" applyNumberFormat="1" applyFont="1" applyFill="1" applyBorder="1" applyAlignment="1">
      <alignment vertical="center" shrinkToFit="1"/>
    </xf>
    <xf numFmtId="0" fontId="2" fillId="4" borderId="28" xfId="0" applyFont="1" applyFill="1" applyBorder="1" applyAlignment="1">
      <alignment vertical="center" shrinkToFit="1"/>
    </xf>
    <xf numFmtId="0" fontId="2" fillId="4" borderId="28" xfId="0" applyFont="1" applyFill="1" applyBorder="1" applyAlignment="1">
      <alignment horizontal="center" vertical="center" shrinkToFit="1"/>
    </xf>
    <xf numFmtId="1" fontId="2" fillId="4" borderId="28" xfId="0" applyNumberFormat="1" applyFont="1" applyFill="1" applyBorder="1" applyAlignment="1">
      <alignment vertical="center" shrinkToFit="1"/>
    </xf>
    <xf numFmtId="0" fontId="2" fillId="4" borderId="29" xfId="0" applyFont="1" applyFill="1" applyBorder="1" applyAlignment="1">
      <alignment horizontal="center" vertical="center" shrinkToFit="1"/>
    </xf>
    <xf numFmtId="0" fontId="1" fillId="4" borderId="29" xfId="0" applyFont="1" applyFill="1" applyBorder="1" applyAlignment="1">
      <alignment horizontal="left" vertical="center" wrapText="1" shrinkToFit="1"/>
    </xf>
    <xf numFmtId="0" fontId="4" fillId="4" borderId="29" xfId="0" applyFont="1" applyFill="1" applyBorder="1" applyAlignment="1">
      <alignment horizontal="center" vertical="center" wrapText="1" shrinkToFit="1"/>
    </xf>
    <xf numFmtId="0" fontId="2" fillId="4" borderId="29" xfId="0" applyFont="1" applyFill="1" applyBorder="1" applyAlignment="1">
      <alignment horizontal="left" vertical="center" wrapText="1" shrinkToFit="1"/>
    </xf>
    <xf numFmtId="0" fontId="1" fillId="4" borderId="29" xfId="0" applyFont="1" applyFill="1" applyBorder="1" applyAlignment="1">
      <alignment horizontal="center" vertical="center" wrapText="1" shrinkToFit="1"/>
    </xf>
    <xf numFmtId="0" fontId="2" fillId="4" borderId="26" xfId="0" applyFont="1" applyFill="1" applyBorder="1" applyAlignment="1">
      <alignment horizontal="left" vertical="center" shrinkToFit="1"/>
    </xf>
    <xf numFmtId="0" fontId="2" fillId="4" borderId="26" xfId="0" applyFont="1" applyFill="1" applyBorder="1" applyAlignment="1">
      <alignment vertical="center" shrinkToFit="1"/>
    </xf>
    <xf numFmtId="0" fontId="2" fillId="4" borderId="26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22" xfId="0" applyFont="1" applyFill="1" applyBorder="1" applyAlignment="1">
      <alignment horizontal="center" vertical="center" shrinkToFit="1"/>
    </xf>
    <xf numFmtId="0" fontId="6" fillId="2" borderId="16" xfId="0" applyFont="1" applyFill="1" applyBorder="1" applyAlignment="1">
      <alignment horizontal="center" vertical="center" wrapText="1" shrinkToFit="1"/>
    </xf>
    <xf numFmtId="0" fontId="6" fillId="2" borderId="15" xfId="0" applyFont="1" applyFill="1" applyBorder="1" applyAlignment="1">
      <alignment horizontal="center" vertical="center" wrapText="1" shrinkToFit="1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 shrinkToFit="1"/>
    </xf>
    <xf numFmtId="0" fontId="4" fillId="5" borderId="18" xfId="0" applyFont="1" applyFill="1" applyBorder="1" applyAlignment="1">
      <alignment horizontal="center" vertical="center" wrapText="1" shrinkToFit="1"/>
    </xf>
    <xf numFmtId="0" fontId="4" fillId="5" borderId="17" xfId="0" applyFont="1" applyFill="1" applyBorder="1" applyAlignment="1">
      <alignment horizontal="center" vertical="center" wrapText="1" shrinkToFit="1"/>
    </xf>
    <xf numFmtId="0" fontId="4" fillId="6" borderId="17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2" fillId="2" borderId="27" xfId="0" applyFont="1" applyFill="1" applyBorder="1" applyAlignment="1">
      <alignment vertical="center" shrinkToFit="1"/>
    </xf>
    <xf numFmtId="0" fontId="2" fillId="2" borderId="31" xfId="0" applyNumberFormat="1" applyFont="1" applyFill="1" applyBorder="1" applyAlignment="1">
      <alignment vertical="center" shrinkToFit="1"/>
    </xf>
    <xf numFmtId="1" fontId="2" fillId="2" borderId="31" xfId="0" applyNumberFormat="1" applyFont="1" applyFill="1" applyBorder="1" applyAlignment="1">
      <alignment vertical="center" shrinkToFit="1"/>
    </xf>
    <xf numFmtId="0" fontId="0" fillId="0" borderId="31" xfId="0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2" borderId="27" xfId="0" applyNumberFormat="1" applyFont="1" applyFill="1" applyBorder="1" applyAlignment="1">
      <alignment vertical="center" shrinkToFit="1"/>
    </xf>
    <xf numFmtId="0" fontId="2" fillId="2" borderId="5" xfId="0" applyNumberFormat="1" applyFont="1" applyFill="1" applyBorder="1" applyAlignment="1">
      <alignment vertical="center" shrinkToFit="1"/>
    </xf>
    <xf numFmtId="0" fontId="2" fillId="0" borderId="6" xfId="0" applyNumberFormat="1" applyFont="1" applyFill="1" applyBorder="1" applyAlignment="1">
      <alignment vertical="center" shrinkToFit="1"/>
    </xf>
    <xf numFmtId="0" fontId="2" fillId="0" borderId="6" xfId="0" applyFont="1" applyFill="1" applyBorder="1" applyAlignment="1">
      <alignment vertical="center" shrinkToFit="1"/>
    </xf>
    <xf numFmtId="0" fontId="1" fillId="0" borderId="6" xfId="0" applyFont="1" applyFill="1" applyBorder="1" applyAlignment="1">
      <alignment horizontal="left" vertical="center" shrinkToFit="1"/>
    </xf>
    <xf numFmtId="0" fontId="2" fillId="0" borderId="6" xfId="0" applyFont="1" applyFill="1" applyBorder="1" applyAlignment="1">
      <alignment horizontal="left" vertical="center" shrinkToFit="1"/>
    </xf>
    <xf numFmtId="0" fontId="2" fillId="0" borderId="1" xfId="0" applyNumberFormat="1" applyFont="1" applyFill="1" applyBorder="1" applyAlignment="1">
      <alignment vertical="center" shrinkToFit="1"/>
    </xf>
    <xf numFmtId="0" fontId="2" fillId="0" borderId="9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3" borderId="9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shrinkToFit="1"/>
    </xf>
    <xf numFmtId="0" fontId="9" fillId="3" borderId="1" xfId="0" applyFont="1" applyFill="1" applyBorder="1">
      <alignment vertical="center"/>
    </xf>
    <xf numFmtId="1" fontId="2" fillId="0" borderId="1" xfId="0" applyNumberFormat="1" applyFont="1" applyFill="1" applyBorder="1" applyAlignment="1">
      <alignment vertical="center" shrinkToFit="1"/>
    </xf>
    <xf numFmtId="0" fontId="8" fillId="0" borderId="1" xfId="0" applyFont="1" applyBorder="1">
      <alignment vertical="center"/>
    </xf>
    <xf numFmtId="49" fontId="2" fillId="0" borderId="1" xfId="0" applyNumberFormat="1" applyFont="1" applyFill="1" applyBorder="1" applyAlignment="1">
      <alignment vertical="center" shrinkToFit="1"/>
    </xf>
    <xf numFmtId="0" fontId="2" fillId="0" borderId="1" xfId="0" applyFont="1" applyFill="1" applyBorder="1">
      <alignment vertical="center"/>
    </xf>
    <xf numFmtId="0" fontId="2" fillId="2" borderId="6" xfId="0" applyNumberFormat="1" applyFont="1" applyFill="1" applyBorder="1" applyAlignment="1">
      <alignment vertical="center" shrinkToFit="1"/>
    </xf>
    <xf numFmtId="0" fontId="2" fillId="2" borderId="6" xfId="0" applyFont="1" applyFill="1" applyBorder="1" applyAlignment="1">
      <alignment vertical="center" shrinkToFit="1"/>
    </xf>
    <xf numFmtId="0" fontId="4" fillId="2" borderId="7" xfId="0" applyFont="1" applyFill="1" applyBorder="1" applyAlignment="1">
      <alignment horizontal="center" vertical="center" wrapText="1" shrinkToFit="1"/>
    </xf>
    <xf numFmtId="0" fontId="8" fillId="0" borderId="1" xfId="0" applyFont="1" applyFill="1" applyBorder="1">
      <alignment vertical="center"/>
    </xf>
    <xf numFmtId="0" fontId="2" fillId="0" borderId="25" xfId="0" applyFont="1" applyFill="1" applyBorder="1" applyAlignment="1">
      <alignment horizontal="center" vertical="center" shrinkToFit="1"/>
    </xf>
    <xf numFmtId="0" fontId="2" fillId="0" borderId="26" xfId="0" applyFont="1" applyBorder="1">
      <alignment vertical="center"/>
    </xf>
    <xf numFmtId="0" fontId="4" fillId="2" borderId="29" xfId="0" applyFont="1" applyFill="1" applyBorder="1" applyAlignment="1">
      <alignment horizontal="center" vertical="center" shrinkToFit="1"/>
    </xf>
    <xf numFmtId="0" fontId="6" fillId="2" borderId="29" xfId="0" applyFont="1" applyFill="1" applyBorder="1" applyAlignment="1">
      <alignment horizontal="center" vertical="center" wrapText="1" shrinkToFit="1"/>
    </xf>
    <xf numFmtId="0" fontId="1" fillId="2" borderId="28" xfId="0" applyFont="1" applyFill="1" applyBorder="1" applyAlignment="1">
      <alignment horizontal="right" shrinkToFit="1"/>
    </xf>
    <xf numFmtId="0" fontId="1" fillId="0" borderId="28" xfId="0" applyFont="1" applyFill="1" applyBorder="1" applyAlignment="1">
      <alignment horizontal="left" vertical="center" wrapText="1" shrinkToFit="1"/>
    </xf>
    <xf numFmtId="0" fontId="1" fillId="0" borderId="28" xfId="0" applyFont="1" applyFill="1" applyBorder="1" applyAlignment="1">
      <alignment horizontal="center" vertical="center" shrinkToFit="1"/>
    </xf>
    <xf numFmtId="0" fontId="2" fillId="0" borderId="28" xfId="0" applyFont="1" applyFill="1" applyBorder="1" applyAlignment="1">
      <alignment horizontal="center" vertical="center" wrapText="1" shrinkToFit="1"/>
    </xf>
    <xf numFmtId="0" fontId="0" fillId="0" borderId="26" xfId="0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30" xfId="0" applyFont="1" applyFill="1" applyBorder="1" applyAlignment="1">
      <alignment vertical="center" shrinkToFit="1"/>
    </xf>
    <xf numFmtId="0" fontId="2" fillId="0" borderId="30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2" fillId="0" borderId="8" xfId="0" applyNumberFormat="1" applyFont="1" applyFill="1" applyBorder="1" applyAlignment="1">
      <alignment vertical="center" shrinkToFit="1"/>
    </xf>
    <xf numFmtId="0" fontId="2" fillId="0" borderId="8" xfId="0" applyFont="1" applyFill="1" applyBorder="1">
      <alignment vertical="center"/>
    </xf>
    <xf numFmtId="0" fontId="2" fillId="0" borderId="40" xfId="0" applyNumberFormat="1" applyFont="1" applyFill="1" applyBorder="1" applyAlignment="1">
      <alignment vertical="center" shrinkToFit="1"/>
    </xf>
    <xf numFmtId="1" fontId="2" fillId="0" borderId="41" xfId="0" applyNumberFormat="1" applyFont="1" applyFill="1" applyBorder="1" applyAlignment="1">
      <alignment vertical="center" shrinkToFit="1"/>
    </xf>
    <xf numFmtId="0" fontId="2" fillId="0" borderId="41" xfId="0" applyFont="1" applyFill="1" applyBorder="1" applyAlignment="1">
      <alignment horizontal="center" vertical="center" shrinkToFit="1"/>
    </xf>
    <xf numFmtId="0" fontId="2" fillId="0" borderId="42" xfId="0" applyFont="1" applyFill="1" applyBorder="1" applyAlignment="1">
      <alignment horizontal="center" vertical="center" shrinkToFit="1"/>
    </xf>
    <xf numFmtId="0" fontId="2" fillId="0" borderId="5" xfId="0" applyNumberFormat="1" applyFont="1" applyFill="1" applyBorder="1" applyAlignment="1">
      <alignment vertical="center" shrinkToFit="1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2" fillId="2" borderId="41" xfId="0" applyFont="1" applyFill="1" applyBorder="1" applyAlignment="1">
      <alignment vertical="center" shrinkToFit="1"/>
    </xf>
    <xf numFmtId="0" fontId="2" fillId="0" borderId="41" xfId="0" applyFont="1" applyBorder="1">
      <alignment vertical="center"/>
    </xf>
    <xf numFmtId="0" fontId="13" fillId="2" borderId="1" xfId="0" applyFont="1" applyFill="1" applyBorder="1">
      <alignment vertical="center"/>
    </xf>
    <xf numFmtId="0" fontId="1" fillId="0" borderId="23" xfId="0" applyFont="1" applyFill="1" applyBorder="1" applyAlignment="1">
      <alignment horizontal="right" vertical="center" shrinkToFit="1"/>
    </xf>
    <xf numFmtId="0" fontId="1" fillId="0" borderId="25" xfId="0" applyFont="1" applyFill="1" applyBorder="1" applyAlignment="1">
      <alignment horizontal="right" vertical="center" wrapText="1" shrinkToFit="1"/>
    </xf>
    <xf numFmtId="0" fontId="2" fillId="4" borderId="25" xfId="0" applyFont="1" applyFill="1" applyBorder="1" applyAlignment="1">
      <alignment horizontal="center" vertical="center" shrinkToFit="1"/>
    </xf>
    <xf numFmtId="0" fontId="2" fillId="4" borderId="8" xfId="0" applyFont="1" applyFill="1" applyBorder="1" applyAlignment="1">
      <alignment vertical="center" shrinkToFit="1"/>
    </xf>
    <xf numFmtId="0" fontId="2" fillId="4" borderId="1" xfId="0" applyFont="1" applyFill="1" applyBorder="1" applyAlignment="1">
      <alignment vertical="center" shrinkToFit="1"/>
    </xf>
    <xf numFmtId="0" fontId="2" fillId="4" borderId="32" xfId="0" applyFont="1" applyFill="1" applyBorder="1" applyAlignment="1">
      <alignment horizontal="center" vertical="center" shrinkToFit="1"/>
    </xf>
    <xf numFmtId="0" fontId="2" fillId="0" borderId="27" xfId="0" applyFont="1" applyFill="1" applyBorder="1" applyAlignment="1">
      <alignment vertical="center" shrinkToFit="1"/>
    </xf>
    <xf numFmtId="0" fontId="8" fillId="0" borderId="32" xfId="0" applyFont="1" applyFill="1" applyBorder="1" applyAlignment="1">
      <alignment horizontal="center" vertical="center"/>
    </xf>
    <xf numFmtId="0" fontId="8" fillId="0" borderId="27" xfId="0" applyFont="1" applyFill="1" applyBorder="1">
      <alignment vertical="center"/>
    </xf>
    <xf numFmtId="0" fontId="4" fillId="2" borderId="32" xfId="0" applyFont="1" applyFill="1" applyBorder="1" applyAlignment="1">
      <alignment horizontal="center" vertical="center" wrapText="1" shrinkToFit="1"/>
    </xf>
    <xf numFmtId="0" fontId="4" fillId="2" borderId="32" xfId="0" applyFont="1" applyFill="1" applyBorder="1" applyAlignment="1">
      <alignment horizontal="center" vertical="center" shrinkToFit="1"/>
    </xf>
    <xf numFmtId="0" fontId="2" fillId="0" borderId="43" xfId="0" applyFont="1" applyFill="1" applyBorder="1" applyAlignment="1">
      <alignment vertical="center" shrinkToFit="1"/>
    </xf>
    <xf numFmtId="0" fontId="4" fillId="2" borderId="44" xfId="0" applyFont="1" applyFill="1" applyBorder="1" applyAlignment="1">
      <alignment horizontal="center" vertical="center" shrinkToFit="1"/>
    </xf>
    <xf numFmtId="0" fontId="4" fillId="2" borderId="45" xfId="0" applyFont="1" applyFill="1" applyBorder="1" applyAlignment="1">
      <alignment horizontal="center" vertical="center" wrapText="1" shrinkToFit="1"/>
    </xf>
    <xf numFmtId="0" fontId="4" fillId="2" borderId="46" xfId="0" applyFont="1" applyFill="1" applyBorder="1" applyAlignment="1">
      <alignment horizontal="center" vertical="center" wrapText="1" shrinkToFit="1"/>
    </xf>
    <xf numFmtId="0" fontId="4" fillId="2" borderId="47" xfId="0" applyFont="1" applyFill="1" applyBorder="1" applyAlignment="1">
      <alignment horizontal="center" vertical="center" wrapText="1" shrinkToFit="1"/>
    </xf>
    <xf numFmtId="0" fontId="4" fillId="2" borderId="47" xfId="0" applyFont="1" applyFill="1" applyBorder="1" applyAlignment="1">
      <alignment horizontal="center" vertical="center" shrinkToFit="1"/>
    </xf>
    <xf numFmtId="0" fontId="4" fillId="2" borderId="48" xfId="0" applyFont="1" applyFill="1" applyBorder="1" applyAlignment="1">
      <alignment horizontal="center" vertical="center" wrapText="1" shrinkToFit="1"/>
    </xf>
    <xf numFmtId="0" fontId="4" fillId="2" borderId="49" xfId="0" applyFont="1" applyFill="1" applyBorder="1" applyAlignment="1">
      <alignment horizontal="center" vertical="center" wrapText="1" shrinkToFit="1"/>
    </xf>
    <xf numFmtId="0" fontId="2" fillId="2" borderId="50" xfId="0" applyFont="1" applyFill="1" applyBorder="1" applyAlignment="1">
      <alignment horizontal="center" vertical="center" shrinkToFit="1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2" fillId="2" borderId="52" xfId="0" applyFont="1" applyFill="1" applyBorder="1" applyAlignment="1">
      <alignment vertical="center" shrinkToFit="1"/>
    </xf>
    <xf numFmtId="0" fontId="2" fillId="0" borderId="53" xfId="0" applyFont="1" applyBorder="1" applyAlignment="1">
      <alignment horizontal="center" vertical="center"/>
    </xf>
    <xf numFmtId="0" fontId="2" fillId="3" borderId="31" xfId="0" applyFont="1" applyFill="1" applyBorder="1" applyAlignment="1">
      <alignment vertical="center" shrinkToFit="1"/>
    </xf>
    <xf numFmtId="0" fontId="2" fillId="3" borderId="31" xfId="0" applyFont="1" applyFill="1" applyBorder="1" applyAlignment="1">
      <alignment horizontal="center" vertical="center" shrinkToFit="1"/>
    </xf>
    <xf numFmtId="0" fontId="2" fillId="0" borderId="33" xfId="0" applyNumberFormat="1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 shrinkToFit="1"/>
    </xf>
    <xf numFmtId="0" fontId="4" fillId="0" borderId="18" xfId="0" applyFont="1" applyFill="1" applyBorder="1" applyAlignment="1">
      <alignment horizontal="center" vertical="center" wrapText="1" shrinkToFit="1"/>
    </xf>
    <xf numFmtId="0" fontId="2" fillId="2" borderId="8" xfId="0" applyFont="1" applyFill="1" applyBorder="1" applyAlignment="1" applyProtection="1">
      <alignment vertical="center" shrinkToFit="1"/>
    </xf>
    <xf numFmtId="0" fontId="2" fillId="0" borderId="31" xfId="0" applyNumberFormat="1" applyFont="1" applyFill="1" applyBorder="1" applyAlignment="1">
      <alignment vertical="center" shrinkToFit="1"/>
    </xf>
    <xf numFmtId="0" fontId="2" fillId="0" borderId="31" xfId="0" applyFont="1" applyFill="1" applyBorder="1" applyAlignment="1">
      <alignment vertical="center" shrinkToFit="1"/>
    </xf>
    <xf numFmtId="0" fontId="2" fillId="2" borderId="8" xfId="0" applyFont="1" applyFill="1" applyBorder="1" applyAlignment="1">
      <alignment vertical="center" wrapText="1" shrinkToFit="1"/>
    </xf>
    <xf numFmtId="0" fontId="2" fillId="2" borderId="1" xfId="0" applyFont="1" applyFill="1" applyBorder="1" applyAlignment="1">
      <alignment vertical="center" wrapText="1" shrinkToFit="1"/>
    </xf>
    <xf numFmtId="0" fontId="2" fillId="0" borderId="35" xfId="1" applyNumberFormat="1" applyFont="1" applyFill="1" applyBorder="1" applyAlignment="1">
      <alignment vertical="center" shrinkToFit="1"/>
    </xf>
    <xf numFmtId="0" fontId="2" fillId="0" borderId="54" xfId="1" applyFont="1" applyFill="1" applyBorder="1" applyAlignment="1">
      <alignment vertical="center" shrinkToFit="1"/>
    </xf>
    <xf numFmtId="0" fontId="2" fillId="0" borderId="54" xfId="0" applyFont="1" applyFill="1" applyBorder="1" applyAlignment="1">
      <alignment vertical="center" shrinkToFit="1"/>
    </xf>
    <xf numFmtId="0" fontId="2" fillId="2" borderId="54" xfId="0" applyFont="1" applyFill="1" applyBorder="1" applyAlignment="1">
      <alignment vertical="center" shrinkToFit="1"/>
    </xf>
    <xf numFmtId="0" fontId="2" fillId="0" borderId="13" xfId="0" applyNumberFormat="1" applyFont="1" applyFill="1" applyBorder="1" applyAlignment="1">
      <alignment vertical="center" shrinkToFit="1"/>
    </xf>
    <xf numFmtId="0" fontId="2" fillId="0" borderId="55" xfId="0" applyFont="1" applyFill="1" applyBorder="1" applyAlignment="1">
      <alignment vertical="center" shrinkToFit="1"/>
    </xf>
    <xf numFmtId="0" fontId="2" fillId="0" borderId="55" xfId="0" applyFont="1" applyFill="1" applyBorder="1" applyAlignment="1">
      <alignment horizontal="center" vertical="center" shrinkToFit="1"/>
    </xf>
    <xf numFmtId="0" fontId="2" fillId="0" borderId="56" xfId="0" applyFont="1" applyFill="1" applyBorder="1" applyAlignment="1">
      <alignment horizontal="center" vertical="center" shrinkToFit="1"/>
    </xf>
  </cellXfs>
  <cellStyles count="3">
    <cellStyle name="표준" xfId="0" builtinId="0"/>
    <cellStyle name="표준 2" xfId="1"/>
    <cellStyle name="표준 3" xfId="2"/>
  </cellStyles>
  <dxfs count="2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T274"/>
  <sheetViews>
    <sheetView topLeftCell="C1" zoomScaleNormal="100" workbookViewId="0">
      <pane ySplit="1" topLeftCell="A2" activePane="bottomLeft" state="frozen"/>
      <selection pane="bottomLeft" activeCell="W6" sqref="W6"/>
    </sheetView>
  </sheetViews>
  <sheetFormatPr defaultRowHeight="13.5" x14ac:dyDescent="0.15"/>
  <cols>
    <col min="1" max="1" width="9.33203125" customWidth="1"/>
    <col min="2" max="2" width="8.77734375" hidden="1" customWidth="1"/>
    <col min="3" max="3" width="20" customWidth="1"/>
    <col min="4" max="4" width="9.6640625" hidden="1" customWidth="1"/>
    <col min="5" max="5" width="32.21875" style="36" customWidth="1"/>
    <col min="6" max="6" width="6.5546875" customWidth="1"/>
    <col min="7" max="7" width="4.109375" customWidth="1"/>
    <col min="8" max="8" width="3.5546875" customWidth="1"/>
    <col min="9" max="9" width="3.77734375" customWidth="1"/>
    <col min="10" max="10" width="3.5546875" customWidth="1"/>
    <col min="11" max="13" width="4.109375" customWidth="1"/>
    <col min="14" max="14" width="3.77734375" customWidth="1"/>
    <col min="15" max="16" width="4.33203125" customWidth="1"/>
    <col min="17" max="19" width="3.77734375" customWidth="1"/>
    <col min="20" max="20" width="3.33203125" customWidth="1"/>
    <col min="21" max="22" width="4.109375" customWidth="1"/>
    <col min="23" max="24" width="3.6640625" customWidth="1"/>
    <col min="25" max="25" width="3.44140625" customWidth="1"/>
    <col min="26" max="26" width="4.44140625" customWidth="1"/>
    <col min="27" max="28" width="3.88671875" style="39" customWidth="1"/>
    <col min="29" max="29" width="4.33203125" style="231" customWidth="1"/>
    <col min="30" max="30" width="3.5546875" style="231" customWidth="1"/>
    <col min="31" max="32" width="3.5546875" customWidth="1"/>
    <col min="33" max="33" width="3.33203125" style="231" customWidth="1"/>
    <col min="34" max="34" width="3.33203125" style="237" customWidth="1"/>
    <col min="35" max="45" width="3.33203125" style="231" customWidth="1"/>
    <col min="46" max="46" width="3.33203125" customWidth="1"/>
  </cols>
  <sheetData>
    <row r="1" spans="1:46" ht="42" x14ac:dyDescent="0.15">
      <c r="A1" s="20" t="s">
        <v>48</v>
      </c>
      <c r="B1" s="21" t="s">
        <v>49</v>
      </c>
      <c r="C1" s="21" t="s">
        <v>267</v>
      </c>
      <c r="D1" s="21" t="s">
        <v>50</v>
      </c>
      <c r="E1" s="37" t="s">
        <v>632</v>
      </c>
      <c r="F1" s="22" t="s">
        <v>1262</v>
      </c>
      <c r="G1" s="45" t="s">
        <v>263</v>
      </c>
      <c r="H1" s="45" t="s">
        <v>237</v>
      </c>
      <c r="I1" s="45" t="s">
        <v>238</v>
      </c>
      <c r="J1" s="45" t="s">
        <v>239</v>
      </c>
      <c r="K1" s="45" t="s">
        <v>240</v>
      </c>
      <c r="L1" s="45" t="s">
        <v>291</v>
      </c>
      <c r="M1" s="45" t="s">
        <v>241</v>
      </c>
      <c r="N1" s="45" t="s">
        <v>242</v>
      </c>
      <c r="O1" s="45" t="s">
        <v>243</v>
      </c>
      <c r="P1" s="45" t="s">
        <v>774</v>
      </c>
      <c r="Q1" s="45" t="s">
        <v>244</v>
      </c>
      <c r="R1" s="45" t="s">
        <v>245</v>
      </c>
      <c r="S1" s="45" t="s">
        <v>802</v>
      </c>
      <c r="T1" s="45" t="s">
        <v>246</v>
      </c>
      <c r="U1" s="45" t="s">
        <v>247</v>
      </c>
      <c r="V1" s="45" t="s">
        <v>248</v>
      </c>
      <c r="W1" s="45" t="s">
        <v>249</v>
      </c>
      <c r="X1" s="45" t="s">
        <v>250</v>
      </c>
      <c r="Y1" s="45" t="s">
        <v>251</v>
      </c>
      <c r="Z1" s="45" t="s">
        <v>373</v>
      </c>
      <c r="AA1" s="46" t="s">
        <v>372</v>
      </c>
      <c r="AB1" s="324" t="s">
        <v>1296</v>
      </c>
      <c r="AC1" s="239" t="s">
        <v>252</v>
      </c>
      <c r="AD1" s="240" t="s">
        <v>292</v>
      </c>
      <c r="AE1" s="45" t="s">
        <v>366</v>
      </c>
      <c r="AF1" s="241" t="s">
        <v>253</v>
      </c>
      <c r="AG1" s="240" t="s">
        <v>254</v>
      </c>
      <c r="AH1" s="241" t="s">
        <v>255</v>
      </c>
      <c r="AI1" s="240" t="s">
        <v>256</v>
      </c>
      <c r="AJ1" s="240" t="s">
        <v>257</v>
      </c>
      <c r="AK1" s="45" t="s">
        <v>258</v>
      </c>
      <c r="AL1" s="45" t="s">
        <v>259</v>
      </c>
      <c r="AM1" s="45" t="s">
        <v>336</v>
      </c>
      <c r="AN1" s="45" t="s">
        <v>820</v>
      </c>
      <c r="AO1" s="45" t="s">
        <v>328</v>
      </c>
      <c r="AP1" s="57" t="s">
        <v>846</v>
      </c>
      <c r="AQ1" s="57" t="s">
        <v>914</v>
      </c>
      <c r="AR1" s="57" t="s">
        <v>1168</v>
      </c>
      <c r="AS1" s="57" t="s">
        <v>970</v>
      </c>
      <c r="AT1" s="47" t="s">
        <v>260</v>
      </c>
    </row>
    <row r="2" spans="1:46" x14ac:dyDescent="0.15">
      <c r="A2" s="24" t="s">
        <v>316</v>
      </c>
      <c r="B2" s="2" t="s">
        <v>489</v>
      </c>
      <c r="C2" s="2" t="s">
        <v>317</v>
      </c>
      <c r="D2" s="19" t="s">
        <v>562</v>
      </c>
      <c r="E2" s="10" t="s">
        <v>637</v>
      </c>
      <c r="F2" s="60"/>
      <c r="G2" s="63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66"/>
      <c r="AB2" s="66"/>
      <c r="AC2" s="48"/>
      <c r="AD2" s="48"/>
      <c r="AE2" s="48"/>
      <c r="AF2" s="48"/>
      <c r="AG2" s="48"/>
      <c r="AH2" s="48">
        <v>3</v>
      </c>
      <c r="AI2" s="48"/>
      <c r="AJ2" s="48"/>
      <c r="AK2" s="48"/>
      <c r="AL2" s="48"/>
      <c r="AM2" s="48"/>
      <c r="AN2" s="48"/>
      <c r="AO2" s="48"/>
      <c r="AP2" s="232"/>
      <c r="AQ2" s="232"/>
      <c r="AR2" s="232"/>
      <c r="AS2" s="232"/>
      <c r="AT2" s="49">
        <f>SUM(G2:AS2)</f>
        <v>3</v>
      </c>
    </row>
    <row r="3" spans="1:46" x14ac:dyDescent="0.15">
      <c r="A3" s="24" t="s">
        <v>318</v>
      </c>
      <c r="B3" s="2" t="s">
        <v>490</v>
      </c>
      <c r="C3" s="2" t="s">
        <v>319</v>
      </c>
      <c r="D3" s="5" t="s">
        <v>562</v>
      </c>
      <c r="E3" s="5" t="s">
        <v>637</v>
      </c>
      <c r="F3" s="43"/>
      <c r="G3" s="3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>
        <v>3</v>
      </c>
      <c r="AI3" s="6"/>
      <c r="AJ3" s="6"/>
      <c r="AK3" s="6"/>
      <c r="AL3" s="6"/>
      <c r="AM3" s="6"/>
      <c r="AN3" s="6"/>
      <c r="AO3" s="6"/>
      <c r="AP3" s="43"/>
      <c r="AQ3" s="43"/>
      <c r="AR3" s="60"/>
      <c r="AS3" s="60"/>
      <c r="AT3" s="49">
        <f t="shared" ref="AT3:AT55" si="0">SUM(G3:AS3)</f>
        <v>3</v>
      </c>
    </row>
    <row r="4" spans="1:46" x14ac:dyDescent="0.15">
      <c r="A4" s="24" t="s">
        <v>1301</v>
      </c>
      <c r="B4" s="2"/>
      <c r="C4" s="2" t="s">
        <v>1302</v>
      </c>
      <c r="D4" s="5"/>
      <c r="E4" s="5" t="s">
        <v>1305</v>
      </c>
      <c r="F4" s="43"/>
      <c r="G4" s="3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>
        <v>3</v>
      </c>
      <c r="AI4" s="6"/>
      <c r="AJ4" s="6"/>
      <c r="AK4" s="6"/>
      <c r="AL4" s="6"/>
      <c r="AM4" s="6"/>
      <c r="AN4" s="6"/>
      <c r="AO4" s="6"/>
      <c r="AP4" s="43"/>
      <c r="AQ4" s="43"/>
      <c r="AR4" s="60"/>
      <c r="AS4" s="60"/>
      <c r="AT4" s="49">
        <f t="shared" si="0"/>
        <v>3</v>
      </c>
    </row>
    <row r="5" spans="1:46" x14ac:dyDescent="0.15">
      <c r="A5" s="24" t="s">
        <v>1303</v>
      </c>
      <c r="B5" s="2"/>
      <c r="C5" s="2" t="s">
        <v>1304</v>
      </c>
      <c r="D5" s="5"/>
      <c r="E5" s="71" t="s">
        <v>661</v>
      </c>
      <c r="F5" s="43"/>
      <c r="G5" s="3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3</v>
      </c>
      <c r="AI5" s="6"/>
      <c r="AJ5" s="6"/>
      <c r="AK5" s="6"/>
      <c r="AL5" s="6"/>
      <c r="AM5" s="6"/>
      <c r="AN5" s="6"/>
      <c r="AO5" s="6"/>
      <c r="AP5" s="43"/>
      <c r="AQ5" s="43"/>
      <c r="AR5" s="60"/>
      <c r="AS5" s="60"/>
      <c r="AT5" s="49">
        <f t="shared" si="0"/>
        <v>3</v>
      </c>
    </row>
    <row r="6" spans="1:46" x14ac:dyDescent="0.15">
      <c r="A6" s="24" t="s">
        <v>791</v>
      </c>
      <c r="B6" s="2" t="s">
        <v>792</v>
      </c>
      <c r="C6" s="2" t="s">
        <v>793</v>
      </c>
      <c r="D6" s="5" t="s">
        <v>794</v>
      </c>
      <c r="E6" s="5" t="s">
        <v>795</v>
      </c>
      <c r="F6" s="43"/>
      <c r="G6" s="32">
        <v>2</v>
      </c>
      <c r="H6" s="6">
        <v>1</v>
      </c>
      <c r="I6" s="6"/>
      <c r="J6" s="6"/>
      <c r="K6" s="6">
        <v>1</v>
      </c>
      <c r="L6" s="6">
        <v>2</v>
      </c>
      <c r="M6" s="6">
        <v>2</v>
      </c>
      <c r="N6" s="6">
        <v>3</v>
      </c>
      <c r="O6" s="6">
        <v>2</v>
      </c>
      <c r="P6" s="6"/>
      <c r="Q6" s="6">
        <v>3</v>
      </c>
      <c r="R6" s="6">
        <v>1</v>
      </c>
      <c r="S6" s="6"/>
      <c r="T6" s="6"/>
      <c r="U6" s="6">
        <v>3</v>
      </c>
      <c r="V6" s="6">
        <v>3</v>
      </c>
      <c r="W6" s="6">
        <v>50</v>
      </c>
      <c r="X6" s="6"/>
      <c r="Y6" s="6"/>
      <c r="Z6" s="6"/>
      <c r="AA6" s="6">
        <v>5</v>
      </c>
      <c r="AB6" s="6"/>
      <c r="AC6" s="6"/>
      <c r="AD6" s="6">
        <v>1</v>
      </c>
      <c r="AE6" s="6">
        <v>2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43"/>
      <c r="AQ6" s="43"/>
      <c r="AR6" s="60"/>
      <c r="AS6" s="60"/>
      <c r="AT6" s="49">
        <f t="shared" si="0"/>
        <v>81</v>
      </c>
    </row>
    <row r="7" spans="1:46" x14ac:dyDescent="0.15">
      <c r="A7" s="24" t="s">
        <v>68</v>
      </c>
      <c r="B7" s="2" t="s">
        <v>374</v>
      </c>
      <c r="C7" s="2" t="s">
        <v>182</v>
      </c>
      <c r="D7" s="2" t="s">
        <v>563</v>
      </c>
      <c r="E7" s="2" t="s">
        <v>638</v>
      </c>
      <c r="F7" s="43"/>
      <c r="G7" s="3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43"/>
      <c r="AQ7" s="43"/>
      <c r="AR7" s="60"/>
      <c r="AS7" s="60"/>
      <c r="AT7" s="49">
        <f t="shared" si="0"/>
        <v>3</v>
      </c>
    </row>
    <row r="8" spans="1:46" x14ac:dyDescent="0.15">
      <c r="A8" s="24" t="s">
        <v>85</v>
      </c>
      <c r="B8" s="2" t="s">
        <v>874</v>
      </c>
      <c r="C8" s="2" t="s">
        <v>183</v>
      </c>
      <c r="D8" s="2" t="s">
        <v>563</v>
      </c>
      <c r="E8" s="2" t="s">
        <v>638</v>
      </c>
      <c r="F8" s="43"/>
      <c r="G8" s="3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43"/>
      <c r="AQ8" s="43"/>
      <c r="AR8" s="60"/>
      <c r="AS8" s="60"/>
      <c r="AT8" s="49">
        <f t="shared" si="0"/>
        <v>1</v>
      </c>
    </row>
    <row r="9" spans="1:46" x14ac:dyDescent="0.15">
      <c r="A9" s="24" t="s">
        <v>893</v>
      </c>
      <c r="B9" s="2" t="s">
        <v>892</v>
      </c>
      <c r="C9" s="2" t="s">
        <v>895</v>
      </c>
      <c r="D9" s="2" t="s">
        <v>898</v>
      </c>
      <c r="E9" s="2" t="s">
        <v>884</v>
      </c>
      <c r="F9" s="43"/>
      <c r="G9" s="3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30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43"/>
      <c r="AQ9" s="43"/>
      <c r="AR9" s="60"/>
      <c r="AS9" s="60"/>
      <c r="AT9" s="49">
        <f t="shared" si="0"/>
        <v>30</v>
      </c>
    </row>
    <row r="10" spans="1:46" x14ac:dyDescent="0.15">
      <c r="A10" s="24" t="s">
        <v>1251</v>
      </c>
      <c r="B10" s="2"/>
      <c r="C10" s="2" t="s">
        <v>1138</v>
      </c>
      <c r="D10" s="2"/>
      <c r="E10" s="2" t="s">
        <v>1136</v>
      </c>
      <c r="F10" s="43"/>
      <c r="G10" s="3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5</v>
      </c>
      <c r="AG10" s="6"/>
      <c r="AH10" s="6">
        <v>5</v>
      </c>
      <c r="AI10" s="6"/>
      <c r="AJ10" s="6"/>
      <c r="AK10" s="6"/>
      <c r="AL10" s="6"/>
      <c r="AM10" s="6"/>
      <c r="AN10" s="6"/>
      <c r="AO10" s="6"/>
      <c r="AP10" s="43"/>
      <c r="AQ10" s="43"/>
      <c r="AR10" s="60"/>
      <c r="AS10" s="60"/>
      <c r="AT10" s="49">
        <f t="shared" si="0"/>
        <v>10</v>
      </c>
    </row>
    <row r="11" spans="1:46" x14ac:dyDescent="0.15">
      <c r="A11" s="24" t="s">
        <v>226</v>
      </c>
      <c r="B11" s="2" t="s">
        <v>491</v>
      </c>
      <c r="C11" s="2" t="s">
        <v>225</v>
      </c>
      <c r="D11" s="2" t="s">
        <v>564</v>
      </c>
      <c r="E11" s="2" t="s">
        <v>640</v>
      </c>
      <c r="F11" s="43"/>
      <c r="G11" s="3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</v>
      </c>
      <c r="W11" s="6">
        <v>4</v>
      </c>
      <c r="X11" s="6"/>
      <c r="Y11" s="6"/>
      <c r="Z11" s="6"/>
      <c r="AA11" s="6"/>
      <c r="AB11" s="6"/>
      <c r="AC11" s="6">
        <v>3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43"/>
      <c r="AQ11" s="43"/>
      <c r="AR11" s="60"/>
      <c r="AS11" s="60"/>
      <c r="AT11" s="49">
        <f t="shared" si="0"/>
        <v>12</v>
      </c>
    </row>
    <row r="12" spans="1:46" x14ac:dyDescent="0.15">
      <c r="A12" s="100" t="s">
        <v>1152</v>
      </c>
      <c r="B12" s="100" t="s">
        <v>375</v>
      </c>
      <c r="C12" s="100" t="s">
        <v>222</v>
      </c>
      <c r="D12" s="100"/>
      <c r="E12" s="11" t="s">
        <v>641</v>
      </c>
      <c r="F12" s="44" t="s">
        <v>340</v>
      </c>
      <c r="G12" s="3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43"/>
      <c r="AQ12" s="43"/>
      <c r="AR12" s="60"/>
      <c r="AS12" s="60"/>
      <c r="AT12" s="49"/>
    </row>
    <row r="13" spans="1:46" x14ac:dyDescent="0.15">
      <c r="A13" s="27" t="s">
        <v>109</v>
      </c>
      <c r="B13" s="11" t="s">
        <v>376</v>
      </c>
      <c r="C13" s="11" t="s">
        <v>141</v>
      </c>
      <c r="D13" s="11" t="s">
        <v>567</v>
      </c>
      <c r="E13" s="11" t="s">
        <v>642</v>
      </c>
      <c r="F13" s="44" t="s">
        <v>340</v>
      </c>
      <c r="G13" s="50"/>
      <c r="H13" s="12"/>
      <c r="I13" s="12">
        <v>1</v>
      </c>
      <c r="J13" s="12"/>
      <c r="K13" s="12"/>
      <c r="L13" s="12"/>
      <c r="M13" s="12"/>
      <c r="N13" s="12">
        <v>2</v>
      </c>
      <c r="O13" s="12"/>
      <c r="P13" s="12"/>
      <c r="Q13" s="12"/>
      <c r="R13" s="12"/>
      <c r="S13" s="12"/>
      <c r="T13" s="12"/>
      <c r="U13" s="12"/>
      <c r="V13" s="12"/>
      <c r="W13" s="12">
        <v>20</v>
      </c>
      <c r="X13" s="12"/>
      <c r="Y13" s="12"/>
      <c r="Z13" s="12"/>
      <c r="AA13" s="12"/>
      <c r="AB13" s="12"/>
      <c r="AC13" s="6"/>
      <c r="AD13" s="6"/>
      <c r="AE13" s="12"/>
      <c r="AF13" s="12"/>
      <c r="AG13" s="6"/>
      <c r="AH13" s="6"/>
      <c r="AI13" s="6"/>
      <c r="AJ13" s="6"/>
      <c r="AK13" s="6"/>
      <c r="AL13" s="6"/>
      <c r="AM13" s="6"/>
      <c r="AN13" s="6"/>
      <c r="AO13" s="6"/>
      <c r="AP13" s="43"/>
      <c r="AQ13" s="43"/>
      <c r="AR13" s="60"/>
      <c r="AS13" s="60"/>
      <c r="AT13" s="49">
        <f t="shared" si="0"/>
        <v>23</v>
      </c>
    </row>
    <row r="14" spans="1:46" x14ac:dyDescent="0.15">
      <c r="A14" s="27" t="s">
        <v>75</v>
      </c>
      <c r="B14" s="11" t="s">
        <v>377</v>
      </c>
      <c r="C14" s="11" t="s">
        <v>184</v>
      </c>
      <c r="D14" s="11" t="s">
        <v>563</v>
      </c>
      <c r="E14" s="11" t="s">
        <v>642</v>
      </c>
      <c r="F14" s="44" t="s">
        <v>340</v>
      </c>
      <c r="G14" s="50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6"/>
      <c r="AD14" s="6"/>
      <c r="AE14" s="12"/>
      <c r="AF14" s="12"/>
      <c r="AG14" s="6"/>
      <c r="AH14" s="6">
        <v>3</v>
      </c>
      <c r="AI14" s="6"/>
      <c r="AJ14" s="6"/>
      <c r="AK14" s="6"/>
      <c r="AL14" s="6"/>
      <c r="AM14" s="6"/>
      <c r="AN14" s="6"/>
      <c r="AO14" s="6"/>
      <c r="AP14" s="43"/>
      <c r="AQ14" s="43"/>
      <c r="AR14" s="60"/>
      <c r="AS14" s="60"/>
      <c r="AT14" s="49">
        <f t="shared" si="0"/>
        <v>3</v>
      </c>
    </row>
    <row r="15" spans="1:46" x14ac:dyDescent="0.15">
      <c r="A15" s="40" t="s">
        <v>1227</v>
      </c>
      <c r="B15" s="15" t="s">
        <v>492</v>
      </c>
      <c r="C15" s="15" t="s">
        <v>1228</v>
      </c>
      <c r="D15" s="15" t="s">
        <v>556</v>
      </c>
      <c r="E15" s="15" t="s">
        <v>643</v>
      </c>
      <c r="F15" s="44" t="s">
        <v>341</v>
      </c>
      <c r="G15" s="32"/>
      <c r="H15" s="6"/>
      <c r="I15" s="6">
        <v>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43"/>
      <c r="AQ15" s="43"/>
      <c r="AR15" s="60"/>
      <c r="AS15" s="60"/>
      <c r="AT15" s="49">
        <f t="shared" si="0"/>
        <v>2</v>
      </c>
    </row>
    <row r="16" spans="1:46" x14ac:dyDescent="0.15">
      <c r="A16" s="40" t="s">
        <v>82</v>
      </c>
      <c r="B16" s="15" t="s">
        <v>542</v>
      </c>
      <c r="C16" s="15" t="s">
        <v>1135</v>
      </c>
      <c r="D16" s="15" t="s">
        <v>556</v>
      </c>
      <c r="E16" s="15" t="s">
        <v>645</v>
      </c>
      <c r="F16" s="44" t="s">
        <v>341</v>
      </c>
      <c r="G16" s="50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6"/>
      <c r="AD16" s="6"/>
      <c r="AE16" s="12"/>
      <c r="AF16" s="12"/>
      <c r="AG16" s="6"/>
      <c r="AH16" s="6">
        <v>6</v>
      </c>
      <c r="AI16" s="6"/>
      <c r="AJ16" s="6"/>
      <c r="AK16" s="6"/>
      <c r="AL16" s="6"/>
      <c r="AM16" s="6"/>
      <c r="AN16" s="6"/>
      <c r="AO16" s="6"/>
      <c r="AP16" s="43"/>
      <c r="AQ16" s="43"/>
      <c r="AR16" s="60"/>
      <c r="AS16" s="60"/>
      <c r="AT16" s="49">
        <f t="shared" si="0"/>
        <v>6</v>
      </c>
    </row>
    <row r="17" spans="1:46" x14ac:dyDescent="0.15">
      <c r="A17" s="25" t="s">
        <v>35</v>
      </c>
      <c r="B17" s="2" t="s">
        <v>378</v>
      </c>
      <c r="C17" s="2" t="s">
        <v>149</v>
      </c>
      <c r="D17" s="2" t="s">
        <v>568</v>
      </c>
      <c r="E17" s="2" t="s">
        <v>646</v>
      </c>
      <c r="F17" s="43"/>
      <c r="G17" s="32"/>
      <c r="H17" s="6">
        <v>3</v>
      </c>
      <c r="I17" s="6"/>
      <c r="J17" s="6"/>
      <c r="K17" s="6"/>
      <c r="L17" s="6"/>
      <c r="M17" s="6"/>
      <c r="N17" s="6"/>
      <c r="O17" s="6"/>
      <c r="P17" s="6">
        <v>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</v>
      </c>
      <c r="AB17" s="6"/>
      <c r="AC17" s="6">
        <v>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43"/>
      <c r="AQ17" s="43"/>
      <c r="AR17" s="60"/>
      <c r="AS17" s="60"/>
      <c r="AT17" s="49">
        <f t="shared" si="0"/>
        <v>15</v>
      </c>
    </row>
    <row r="18" spans="1:46" x14ac:dyDescent="0.15">
      <c r="A18" s="24" t="s">
        <v>55</v>
      </c>
      <c r="B18" s="2" t="s">
        <v>379</v>
      </c>
      <c r="C18" s="2" t="s">
        <v>155</v>
      </c>
      <c r="D18" s="2" t="s">
        <v>556</v>
      </c>
      <c r="E18" s="2" t="s">
        <v>647</v>
      </c>
      <c r="F18" s="43"/>
      <c r="G18" s="3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44</v>
      </c>
      <c r="X18" s="6"/>
      <c r="Y18" s="6"/>
      <c r="Z18" s="6"/>
      <c r="AA18" s="6"/>
      <c r="AB18" s="6"/>
      <c r="AC18" s="6">
        <v>10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43"/>
      <c r="AQ18" s="43"/>
      <c r="AR18" s="60"/>
      <c r="AS18" s="60"/>
      <c r="AT18" s="49">
        <f t="shared" si="0"/>
        <v>54</v>
      </c>
    </row>
    <row r="19" spans="1:46" x14ac:dyDescent="0.15">
      <c r="A19" s="23" t="s">
        <v>6</v>
      </c>
      <c r="B19" s="11" t="s">
        <v>380</v>
      </c>
      <c r="C19" s="11" t="s">
        <v>128</v>
      </c>
      <c r="D19" s="11" t="s">
        <v>569</v>
      </c>
      <c r="E19" s="11" t="s">
        <v>648</v>
      </c>
      <c r="F19" s="44" t="s">
        <v>356</v>
      </c>
      <c r="G19" s="50"/>
      <c r="H19" s="12"/>
      <c r="I19" s="12"/>
      <c r="J19" s="12">
        <v>1</v>
      </c>
      <c r="K19" s="12"/>
      <c r="L19" s="12"/>
      <c r="M19" s="12"/>
      <c r="N19" s="12"/>
      <c r="O19" s="12"/>
      <c r="P19" s="12">
        <v>3</v>
      </c>
      <c r="Q19" s="12"/>
      <c r="R19" s="12"/>
      <c r="S19" s="12"/>
      <c r="T19" s="12"/>
      <c r="U19" s="12"/>
      <c r="V19" s="12"/>
      <c r="W19" s="12">
        <v>2</v>
      </c>
      <c r="X19" s="12"/>
      <c r="Y19" s="12"/>
      <c r="Z19" s="12"/>
      <c r="AA19" s="12">
        <v>5</v>
      </c>
      <c r="AB19" s="12"/>
      <c r="AC19" s="6"/>
      <c r="AD19" s="6"/>
      <c r="AE19" s="12"/>
      <c r="AF19" s="12"/>
      <c r="AG19" s="6"/>
      <c r="AH19" s="6"/>
      <c r="AI19" s="6"/>
      <c r="AJ19" s="6"/>
      <c r="AK19" s="6"/>
      <c r="AL19" s="6"/>
      <c r="AM19" s="6"/>
      <c r="AN19" s="6"/>
      <c r="AO19" s="6"/>
      <c r="AP19" s="43"/>
      <c r="AQ19" s="43"/>
      <c r="AR19" s="60"/>
      <c r="AS19" s="60"/>
      <c r="AT19" s="49">
        <f t="shared" si="0"/>
        <v>11</v>
      </c>
    </row>
    <row r="20" spans="1:46" x14ac:dyDescent="0.15">
      <c r="A20" s="24" t="s">
        <v>1309</v>
      </c>
      <c r="B20" s="2" t="s">
        <v>817</v>
      </c>
      <c r="C20" s="2" t="s">
        <v>818</v>
      </c>
      <c r="D20" s="19" t="s">
        <v>562</v>
      </c>
      <c r="E20" s="10" t="s">
        <v>819</v>
      </c>
      <c r="F20" s="61"/>
      <c r="G20" s="64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7"/>
      <c r="AB20" s="67"/>
      <c r="AC20" s="65"/>
      <c r="AD20" s="65"/>
      <c r="AE20" s="65"/>
      <c r="AF20" s="65"/>
      <c r="AG20" s="65"/>
      <c r="AH20" s="6">
        <v>5</v>
      </c>
      <c r="AI20" s="65"/>
      <c r="AJ20" s="65"/>
      <c r="AK20" s="65"/>
      <c r="AL20" s="65"/>
      <c r="AM20" s="65"/>
      <c r="AN20" s="65"/>
      <c r="AO20" s="65"/>
      <c r="AP20" s="233"/>
      <c r="AQ20" s="233"/>
      <c r="AR20" s="234"/>
      <c r="AS20" s="234"/>
      <c r="AT20" s="49">
        <f t="shared" si="0"/>
        <v>5</v>
      </c>
    </row>
    <row r="21" spans="1:46" s="79" customFormat="1" x14ac:dyDescent="0.15">
      <c r="A21" s="23" t="s">
        <v>907</v>
      </c>
      <c r="B21" s="75" t="s">
        <v>906</v>
      </c>
      <c r="C21" s="11" t="s">
        <v>905</v>
      </c>
      <c r="D21" s="73" t="s">
        <v>908</v>
      </c>
      <c r="E21" s="74" t="s">
        <v>648</v>
      </c>
      <c r="F21" s="76" t="s">
        <v>909</v>
      </c>
      <c r="G21" s="77">
        <v>2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65"/>
      <c r="AD21" s="65"/>
      <c r="AE21" s="78"/>
      <c r="AF21" s="78"/>
      <c r="AG21" s="65"/>
      <c r="AH21" s="6">
        <v>2</v>
      </c>
      <c r="AI21" s="65"/>
      <c r="AJ21" s="65"/>
      <c r="AK21" s="65"/>
      <c r="AL21" s="65"/>
      <c r="AM21" s="65"/>
      <c r="AN21" s="65"/>
      <c r="AO21" s="65"/>
      <c r="AP21" s="233"/>
      <c r="AQ21" s="233"/>
      <c r="AR21" s="234"/>
      <c r="AS21" s="234"/>
      <c r="AT21" s="49">
        <f t="shared" si="0"/>
        <v>4</v>
      </c>
    </row>
    <row r="22" spans="1:46" x14ac:dyDescent="0.15">
      <c r="A22" s="25" t="s">
        <v>796</v>
      </c>
      <c r="B22" s="2" t="s">
        <v>797</v>
      </c>
      <c r="C22" s="2" t="s">
        <v>798</v>
      </c>
      <c r="D22" s="2" t="s">
        <v>799</v>
      </c>
      <c r="E22" s="2" t="s">
        <v>800</v>
      </c>
      <c r="F22" s="43"/>
      <c r="G22" s="3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2</v>
      </c>
      <c r="AG22" s="6"/>
      <c r="AH22" s="6"/>
      <c r="AI22" s="6"/>
      <c r="AJ22" s="6"/>
      <c r="AK22" s="6"/>
      <c r="AL22" s="6"/>
      <c r="AM22" s="6"/>
      <c r="AN22" s="6"/>
      <c r="AO22" s="6"/>
      <c r="AP22" s="43"/>
      <c r="AQ22" s="43"/>
      <c r="AR22" s="60"/>
      <c r="AS22" s="60"/>
      <c r="AT22" s="49">
        <f t="shared" si="0"/>
        <v>2</v>
      </c>
    </row>
    <row r="23" spans="1:46" x14ac:dyDescent="0.15">
      <c r="A23" s="25" t="s">
        <v>36</v>
      </c>
      <c r="B23" s="2" t="s">
        <v>381</v>
      </c>
      <c r="C23" s="2" t="s">
        <v>207</v>
      </c>
      <c r="D23" s="2" t="s">
        <v>556</v>
      </c>
      <c r="E23" s="2" t="s">
        <v>649</v>
      </c>
      <c r="F23" s="43"/>
      <c r="G23" s="3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</v>
      </c>
      <c r="AI23" s="6"/>
      <c r="AJ23" s="6"/>
      <c r="AK23" s="6"/>
      <c r="AL23" s="6"/>
      <c r="AM23" s="6"/>
      <c r="AN23" s="6"/>
      <c r="AO23" s="6"/>
      <c r="AP23" s="43"/>
      <c r="AQ23" s="43"/>
      <c r="AR23" s="60"/>
      <c r="AS23" s="60"/>
      <c r="AT23" s="49">
        <f t="shared" si="0"/>
        <v>2</v>
      </c>
    </row>
    <row r="24" spans="1:46" x14ac:dyDescent="0.15">
      <c r="A24" s="25" t="s">
        <v>950</v>
      </c>
      <c r="B24" s="2" t="s">
        <v>957</v>
      </c>
      <c r="C24" s="2" t="s">
        <v>956</v>
      </c>
      <c r="D24" s="2" t="s">
        <v>959</v>
      </c>
      <c r="E24" s="71" t="s">
        <v>958</v>
      </c>
      <c r="F24" s="43"/>
      <c r="G24" s="3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1</v>
      </c>
      <c r="AK24" s="6"/>
      <c r="AL24" s="6"/>
      <c r="AM24" s="6"/>
      <c r="AN24" s="6"/>
      <c r="AO24" s="6"/>
      <c r="AP24" s="43"/>
      <c r="AQ24" s="43"/>
      <c r="AR24" s="60"/>
      <c r="AS24" s="60"/>
      <c r="AT24" s="49">
        <f t="shared" si="0"/>
        <v>1</v>
      </c>
    </row>
    <row r="25" spans="1:46" x14ac:dyDescent="0.15">
      <c r="A25" s="27" t="s">
        <v>1223</v>
      </c>
      <c r="B25" s="11" t="s">
        <v>382</v>
      </c>
      <c r="C25" s="11" t="s">
        <v>156</v>
      </c>
      <c r="D25" s="11" t="s">
        <v>556</v>
      </c>
      <c r="E25" s="11" t="s">
        <v>643</v>
      </c>
      <c r="F25" s="44" t="s">
        <v>353</v>
      </c>
      <c r="G25" s="50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6</v>
      </c>
      <c r="Y25" s="12"/>
      <c r="Z25" s="12"/>
      <c r="AA25" s="12"/>
      <c r="AB25" s="12"/>
      <c r="AC25" s="6"/>
      <c r="AD25" s="6"/>
      <c r="AE25" s="12"/>
      <c r="AF25" s="12"/>
      <c r="AG25" s="6"/>
      <c r="AH25" s="6"/>
      <c r="AI25" s="6"/>
      <c r="AJ25" s="6"/>
      <c r="AK25" s="6"/>
      <c r="AL25" s="6"/>
      <c r="AM25" s="6"/>
      <c r="AN25" s="6"/>
      <c r="AO25" s="6"/>
      <c r="AP25" s="43"/>
      <c r="AQ25" s="43"/>
      <c r="AR25" s="60"/>
      <c r="AS25" s="60"/>
      <c r="AT25" s="49">
        <f t="shared" si="0"/>
        <v>6</v>
      </c>
    </row>
    <row r="26" spans="1:46" s="192" customFormat="1" x14ac:dyDescent="0.15">
      <c r="A26" s="140" t="s">
        <v>936</v>
      </c>
      <c r="B26" s="187" t="s">
        <v>939</v>
      </c>
      <c r="C26" s="1" t="s">
        <v>937</v>
      </c>
      <c r="D26" s="1" t="s">
        <v>940</v>
      </c>
      <c r="E26" s="188" t="s">
        <v>938</v>
      </c>
      <c r="F26" s="189"/>
      <c r="G26" s="190">
        <v>3</v>
      </c>
      <c r="H26" s="38">
        <v>1</v>
      </c>
      <c r="I26" s="38">
        <v>2</v>
      </c>
      <c r="J26" s="38">
        <v>2</v>
      </c>
      <c r="K26" s="38">
        <v>1</v>
      </c>
      <c r="L26" s="38">
        <v>2</v>
      </c>
      <c r="M26" s="38">
        <v>2</v>
      </c>
      <c r="N26" s="38"/>
      <c r="O26" s="38">
        <v>2</v>
      </c>
      <c r="P26" s="38">
        <v>2</v>
      </c>
      <c r="Q26" s="38">
        <v>2</v>
      </c>
      <c r="R26" s="38">
        <v>1</v>
      </c>
      <c r="S26" s="38">
        <v>2</v>
      </c>
      <c r="T26" s="38"/>
      <c r="U26" s="38">
        <v>10</v>
      </c>
      <c r="V26" s="38">
        <v>2</v>
      </c>
      <c r="W26" s="38">
        <v>20</v>
      </c>
      <c r="X26" s="38"/>
      <c r="Y26" s="38"/>
      <c r="Z26" s="38"/>
      <c r="AA26" s="38">
        <v>3</v>
      </c>
      <c r="AB26" s="38"/>
      <c r="AC26" s="6"/>
      <c r="AD26" s="6">
        <v>10</v>
      </c>
      <c r="AE26" s="38"/>
      <c r="AF26" s="38"/>
      <c r="AG26" s="6"/>
      <c r="AH26" s="6"/>
      <c r="AI26" s="6"/>
      <c r="AJ26" s="6"/>
      <c r="AK26" s="6"/>
      <c r="AL26" s="6"/>
      <c r="AM26" s="6"/>
      <c r="AN26" s="6"/>
      <c r="AO26" s="6"/>
      <c r="AP26" s="43"/>
      <c r="AQ26" s="43"/>
      <c r="AR26" s="60"/>
      <c r="AS26" s="60"/>
      <c r="AT26" s="49">
        <f t="shared" si="0"/>
        <v>67</v>
      </c>
    </row>
    <row r="27" spans="1:46" s="192" customFormat="1" x14ac:dyDescent="0.15">
      <c r="A27" s="140" t="s">
        <v>1154</v>
      </c>
      <c r="B27" s="187"/>
      <c r="C27" s="1" t="s">
        <v>1155</v>
      </c>
      <c r="D27" s="1"/>
      <c r="E27" s="71" t="s">
        <v>655</v>
      </c>
      <c r="F27" s="189"/>
      <c r="G27" s="190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6"/>
      <c r="AD27" s="6"/>
      <c r="AE27" s="38"/>
      <c r="AF27" s="38"/>
      <c r="AG27" s="6"/>
      <c r="AH27" s="6"/>
      <c r="AI27" s="6"/>
      <c r="AJ27" s="6"/>
      <c r="AK27" s="6"/>
      <c r="AL27" s="6"/>
      <c r="AM27" s="6"/>
      <c r="AN27" s="6"/>
      <c r="AO27" s="6"/>
      <c r="AP27" s="43">
        <v>3</v>
      </c>
      <c r="AQ27" s="43">
        <v>12</v>
      </c>
      <c r="AR27" s="60"/>
      <c r="AS27" s="60"/>
      <c r="AT27" s="49">
        <f t="shared" si="0"/>
        <v>15</v>
      </c>
    </row>
    <row r="28" spans="1:46" s="192" customFormat="1" x14ac:dyDescent="0.15">
      <c r="A28" s="140" t="s">
        <v>1050</v>
      </c>
      <c r="B28" s="187" t="s">
        <v>1051</v>
      </c>
      <c r="C28" s="1" t="s">
        <v>1052</v>
      </c>
      <c r="D28" s="1" t="s">
        <v>1053</v>
      </c>
      <c r="E28" s="188" t="s">
        <v>1054</v>
      </c>
      <c r="F28" s="189"/>
      <c r="G28" s="190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6"/>
      <c r="AD28" s="6"/>
      <c r="AE28" s="38"/>
      <c r="AF28" s="38"/>
      <c r="AG28" s="6"/>
      <c r="AH28" s="6"/>
      <c r="AI28" s="6"/>
      <c r="AJ28" s="6"/>
      <c r="AK28" s="6"/>
      <c r="AL28" s="6"/>
      <c r="AM28" s="6"/>
      <c r="AN28" s="6"/>
      <c r="AO28" s="6"/>
      <c r="AP28" s="43"/>
      <c r="AQ28" s="43"/>
      <c r="AR28" s="60"/>
      <c r="AS28" s="60"/>
      <c r="AT28" s="49">
        <f t="shared" si="0"/>
        <v>0</v>
      </c>
    </row>
    <row r="29" spans="1:46" x14ac:dyDescent="0.15">
      <c r="A29" s="25" t="s">
        <v>224</v>
      </c>
      <c r="B29" s="2" t="s">
        <v>383</v>
      </c>
      <c r="C29" s="2" t="s">
        <v>157</v>
      </c>
      <c r="D29" s="2" t="s">
        <v>561</v>
      </c>
      <c r="E29" s="2" t="s">
        <v>650</v>
      </c>
      <c r="F29" s="43"/>
      <c r="G29" s="3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20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43"/>
      <c r="AQ29" s="43"/>
      <c r="AR29" s="60"/>
      <c r="AS29" s="60"/>
      <c r="AT29" s="49">
        <f t="shared" si="0"/>
        <v>20</v>
      </c>
    </row>
    <row r="30" spans="1:46" x14ac:dyDescent="0.15">
      <c r="A30" s="25" t="s">
        <v>1322</v>
      </c>
      <c r="B30" s="2"/>
      <c r="C30" s="2" t="s">
        <v>1323</v>
      </c>
      <c r="D30" s="2"/>
      <c r="E30" s="71" t="s">
        <v>1324</v>
      </c>
      <c r="F30" s="43"/>
      <c r="G30" s="3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43"/>
      <c r="AQ30" s="43">
        <v>10</v>
      </c>
      <c r="AR30" s="60"/>
      <c r="AS30" s="60"/>
      <c r="AT30" s="49">
        <f t="shared" si="0"/>
        <v>10</v>
      </c>
    </row>
    <row r="31" spans="1:46" x14ac:dyDescent="0.15">
      <c r="A31" s="25" t="s">
        <v>1023</v>
      </c>
      <c r="B31" s="2" t="s">
        <v>100</v>
      </c>
      <c r="C31" s="2" t="s">
        <v>872</v>
      </c>
      <c r="D31" s="2" t="s">
        <v>562</v>
      </c>
      <c r="E31" s="2" t="s">
        <v>651</v>
      </c>
      <c r="F31" s="43"/>
      <c r="G31" s="3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</v>
      </c>
      <c r="AI31" s="6"/>
      <c r="AJ31" s="6"/>
      <c r="AK31" s="6"/>
      <c r="AL31" s="6"/>
      <c r="AM31" s="6"/>
      <c r="AN31" s="6"/>
      <c r="AO31" s="6"/>
      <c r="AP31" s="43"/>
      <c r="AQ31" s="43"/>
      <c r="AR31" s="60"/>
      <c r="AS31" s="60"/>
      <c r="AT31" s="49">
        <f t="shared" si="0"/>
        <v>3</v>
      </c>
    </row>
    <row r="32" spans="1:46" x14ac:dyDescent="0.15">
      <c r="A32" s="24" t="s">
        <v>8</v>
      </c>
      <c r="B32" s="2" t="s">
        <v>493</v>
      </c>
      <c r="C32" s="2" t="s">
        <v>320</v>
      </c>
      <c r="D32" s="2" t="s">
        <v>572</v>
      </c>
      <c r="E32" s="2" t="s">
        <v>652</v>
      </c>
      <c r="F32" s="43"/>
      <c r="G32" s="3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2</v>
      </c>
      <c r="V32" s="6">
        <v>2</v>
      </c>
      <c r="W32" s="6">
        <v>20</v>
      </c>
      <c r="X32" s="6"/>
      <c r="Y32" s="6"/>
      <c r="Z32" s="6"/>
      <c r="AA32" s="38">
        <v>2</v>
      </c>
      <c r="AB32" s="38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43"/>
      <c r="AQ32" s="43"/>
      <c r="AR32" s="60"/>
      <c r="AS32" s="60"/>
      <c r="AT32" s="49">
        <f t="shared" si="0"/>
        <v>26</v>
      </c>
    </row>
    <row r="33" spans="1:46" x14ac:dyDescent="0.15">
      <c r="A33" s="24" t="s">
        <v>369</v>
      </c>
      <c r="B33" s="2" t="s">
        <v>494</v>
      </c>
      <c r="C33" s="2" t="s">
        <v>370</v>
      </c>
      <c r="D33" s="2" t="s">
        <v>573</v>
      </c>
      <c r="E33" s="2" t="s">
        <v>984</v>
      </c>
      <c r="F33" s="43"/>
      <c r="G33" s="3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38"/>
      <c r="AB33" s="38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3"/>
      <c r="AQ33" s="43"/>
      <c r="AR33" s="60"/>
      <c r="AS33" s="60"/>
      <c r="AT33" s="49">
        <f t="shared" si="0"/>
        <v>0</v>
      </c>
    </row>
    <row r="34" spans="1:46" x14ac:dyDescent="0.15">
      <c r="A34" s="24" t="s">
        <v>1088</v>
      </c>
      <c r="B34" s="2" t="s">
        <v>1090</v>
      </c>
      <c r="C34" s="2" t="s">
        <v>1089</v>
      </c>
      <c r="D34" s="2" t="s">
        <v>1091</v>
      </c>
      <c r="E34" s="2" t="s">
        <v>1092</v>
      </c>
      <c r="F34" s="43"/>
      <c r="G34" s="3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38">
        <v>2</v>
      </c>
      <c r="AB34" s="38"/>
      <c r="AC34" s="6">
        <v>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43"/>
      <c r="AQ34" s="43"/>
      <c r="AR34" s="60"/>
      <c r="AS34" s="60"/>
      <c r="AT34" s="49">
        <f t="shared" si="0"/>
        <v>6</v>
      </c>
    </row>
    <row r="35" spans="1:46" x14ac:dyDescent="0.15">
      <c r="A35" s="24" t="s">
        <v>0</v>
      </c>
      <c r="B35" s="25" t="s">
        <v>814</v>
      </c>
      <c r="C35" s="2" t="s">
        <v>1</v>
      </c>
      <c r="D35" s="2" t="s">
        <v>575</v>
      </c>
      <c r="E35" s="2" t="s">
        <v>656</v>
      </c>
      <c r="F35" s="43"/>
      <c r="G35" s="3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10</v>
      </c>
      <c r="Z35" s="6"/>
      <c r="AA35" s="38"/>
      <c r="AB35" s="38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43"/>
      <c r="AQ35" s="43"/>
      <c r="AR35" s="60"/>
      <c r="AS35" s="60"/>
      <c r="AT35" s="49">
        <f t="shared" si="0"/>
        <v>10</v>
      </c>
    </row>
    <row r="36" spans="1:46" x14ac:dyDescent="0.15">
      <c r="A36" s="24" t="s">
        <v>84</v>
      </c>
      <c r="B36" s="2" t="s">
        <v>384</v>
      </c>
      <c r="C36" s="2" t="s">
        <v>86</v>
      </c>
      <c r="D36" s="2" t="s">
        <v>1076</v>
      </c>
      <c r="E36" s="2" t="s">
        <v>657</v>
      </c>
      <c r="F36" s="43"/>
      <c r="G36" s="3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8</v>
      </c>
      <c r="Z36" s="6"/>
      <c r="AA36" s="38"/>
      <c r="AB36" s="38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3"/>
      <c r="AQ36" s="43"/>
      <c r="AR36" s="60"/>
      <c r="AS36" s="60"/>
      <c r="AT36" s="49">
        <f t="shared" si="0"/>
        <v>8</v>
      </c>
    </row>
    <row r="37" spans="1:46" x14ac:dyDescent="0.15">
      <c r="A37" s="24" t="s">
        <v>1073</v>
      </c>
      <c r="B37" s="2" t="s">
        <v>1074</v>
      </c>
      <c r="C37" s="2" t="s">
        <v>1075</v>
      </c>
      <c r="D37" s="2" t="s">
        <v>1077</v>
      </c>
      <c r="E37" s="2" t="s">
        <v>1078</v>
      </c>
      <c r="F37" s="43"/>
      <c r="G37" s="3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12</v>
      </c>
      <c r="Z37" s="6"/>
      <c r="AA37" s="38"/>
      <c r="AB37" s="38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43"/>
      <c r="AQ37" s="43"/>
      <c r="AR37" s="60"/>
      <c r="AS37" s="60"/>
      <c r="AT37" s="49">
        <f t="shared" si="0"/>
        <v>12</v>
      </c>
    </row>
    <row r="38" spans="1:46" x14ac:dyDescent="0.15">
      <c r="A38" s="24" t="s">
        <v>1096</v>
      </c>
      <c r="B38" s="2" t="s">
        <v>1098</v>
      </c>
      <c r="C38" s="2" t="s">
        <v>1097</v>
      </c>
      <c r="D38" s="2" t="s">
        <v>1099</v>
      </c>
      <c r="E38" s="2" t="s">
        <v>1100</v>
      </c>
      <c r="F38" s="43"/>
      <c r="G38" s="3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38">
        <v>5</v>
      </c>
      <c r="AB38" s="38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43"/>
      <c r="AQ38" s="43"/>
      <c r="AR38" s="60"/>
      <c r="AS38" s="60"/>
      <c r="AT38" s="49">
        <f t="shared" si="0"/>
        <v>5</v>
      </c>
    </row>
    <row r="39" spans="1:46" x14ac:dyDescent="0.15">
      <c r="A39" s="24" t="s">
        <v>1157</v>
      </c>
      <c r="B39" s="2"/>
      <c r="C39" s="2" t="s">
        <v>1158</v>
      </c>
      <c r="D39" s="2"/>
      <c r="E39" s="2" t="s">
        <v>1159</v>
      </c>
      <c r="F39" s="43"/>
      <c r="G39" s="3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30</v>
      </c>
      <c r="Z39" s="6"/>
      <c r="AA39" s="38"/>
      <c r="AB39" s="38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3"/>
      <c r="AQ39" s="43"/>
      <c r="AR39" s="60"/>
      <c r="AS39" s="60"/>
      <c r="AT39" s="49">
        <f t="shared" si="0"/>
        <v>30</v>
      </c>
    </row>
    <row r="40" spans="1:46" x14ac:dyDescent="0.15">
      <c r="A40" s="24" t="s">
        <v>1371</v>
      </c>
      <c r="B40" s="2"/>
      <c r="C40" s="2" t="s">
        <v>1372</v>
      </c>
      <c r="D40" s="2"/>
      <c r="E40" s="2" t="s">
        <v>1373</v>
      </c>
      <c r="F40" s="43"/>
      <c r="G40" s="3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38"/>
      <c r="AB40" s="38"/>
      <c r="AC40" s="6"/>
      <c r="AD40" s="6"/>
      <c r="AE40" s="6"/>
      <c r="AF40" s="6"/>
      <c r="AG40" s="6"/>
      <c r="AH40" s="6">
        <v>2</v>
      </c>
      <c r="AI40" s="6"/>
      <c r="AJ40" s="6"/>
      <c r="AK40" s="6"/>
      <c r="AL40" s="6"/>
      <c r="AM40" s="6"/>
      <c r="AN40" s="6"/>
      <c r="AO40" s="6"/>
      <c r="AP40" s="43"/>
      <c r="AQ40" s="43"/>
      <c r="AR40" s="60"/>
      <c r="AS40" s="60"/>
      <c r="AT40" s="49">
        <f t="shared" si="0"/>
        <v>2</v>
      </c>
    </row>
    <row r="41" spans="1:46" x14ac:dyDescent="0.15">
      <c r="A41" s="23" t="s">
        <v>332</v>
      </c>
      <c r="B41" s="11" t="s">
        <v>496</v>
      </c>
      <c r="C41" s="11" t="s">
        <v>331</v>
      </c>
      <c r="D41" s="11" t="s">
        <v>576</v>
      </c>
      <c r="E41" s="11" t="s">
        <v>658</v>
      </c>
      <c r="F41" s="44" t="s">
        <v>341</v>
      </c>
      <c r="G41" s="50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6"/>
      <c r="AD41" s="6"/>
      <c r="AE41" s="12"/>
      <c r="AF41" s="12"/>
      <c r="AG41" s="6"/>
      <c r="AH41" s="6"/>
      <c r="AI41" s="6"/>
      <c r="AJ41" s="6"/>
      <c r="AK41" s="6"/>
      <c r="AL41" s="6"/>
      <c r="AM41" s="6"/>
      <c r="AN41" s="6"/>
      <c r="AO41" s="6"/>
      <c r="AP41" s="43"/>
      <c r="AQ41" s="43"/>
      <c r="AR41" s="60"/>
      <c r="AS41" s="60"/>
      <c r="AT41" s="49">
        <f t="shared" si="0"/>
        <v>0</v>
      </c>
    </row>
    <row r="42" spans="1:46" x14ac:dyDescent="0.15">
      <c r="A42" s="24" t="s">
        <v>9</v>
      </c>
      <c r="B42" s="2" t="s">
        <v>385</v>
      </c>
      <c r="C42" s="2" t="s">
        <v>185</v>
      </c>
      <c r="D42" s="2" t="s">
        <v>556</v>
      </c>
      <c r="E42" s="2" t="s">
        <v>659</v>
      </c>
      <c r="F42" s="43"/>
      <c r="G42" s="32"/>
      <c r="H42" s="6"/>
      <c r="I42" s="6"/>
      <c r="J42" s="6">
        <v>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</v>
      </c>
      <c r="V42" s="6">
        <v>5</v>
      </c>
      <c r="W42" s="6">
        <v>10</v>
      </c>
      <c r="X42" s="6"/>
      <c r="Y42" s="6"/>
      <c r="Z42" s="6"/>
      <c r="AA42" s="38"/>
      <c r="AB42" s="38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3"/>
      <c r="AQ42" s="43"/>
      <c r="AR42" s="60"/>
      <c r="AS42" s="60"/>
      <c r="AT42" s="49">
        <f t="shared" si="0"/>
        <v>20</v>
      </c>
    </row>
    <row r="43" spans="1:46" x14ac:dyDescent="0.15">
      <c r="A43" s="24" t="s">
        <v>25</v>
      </c>
      <c r="B43" s="2" t="s">
        <v>386</v>
      </c>
      <c r="C43" s="2" t="s">
        <v>158</v>
      </c>
      <c r="D43" s="2" t="s">
        <v>561</v>
      </c>
      <c r="E43" s="2" t="s">
        <v>653</v>
      </c>
      <c r="F43" s="43"/>
      <c r="G43" s="3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>
        <v>5</v>
      </c>
      <c r="X43" s="6">
        <v>2</v>
      </c>
      <c r="Y43" s="6">
        <v>5</v>
      </c>
      <c r="Z43" s="6"/>
      <c r="AA43" s="38"/>
      <c r="AB43" s="38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43"/>
      <c r="AQ43" s="43"/>
      <c r="AR43" s="60"/>
      <c r="AS43" s="60"/>
      <c r="AT43" s="49">
        <f t="shared" si="0"/>
        <v>12</v>
      </c>
    </row>
    <row r="44" spans="1:46" x14ac:dyDescent="0.15">
      <c r="A44" s="24" t="s">
        <v>76</v>
      </c>
      <c r="B44" s="2" t="s">
        <v>387</v>
      </c>
      <c r="C44" s="2" t="s">
        <v>129</v>
      </c>
      <c r="D44" s="2" t="s">
        <v>554</v>
      </c>
      <c r="E44" s="2" t="s">
        <v>648</v>
      </c>
      <c r="F44" s="43"/>
      <c r="G44" s="32"/>
      <c r="H44" s="6"/>
      <c r="I44" s="6"/>
      <c r="J44" s="6"/>
      <c r="K44" s="6"/>
      <c r="L44" s="6"/>
      <c r="M44" s="6"/>
      <c r="N44" s="6"/>
      <c r="O44" s="6">
        <v>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38"/>
      <c r="AB44" s="38"/>
      <c r="AC44" s="6"/>
      <c r="AD44" s="6"/>
      <c r="AE44" s="6">
        <v>1</v>
      </c>
      <c r="AF44" s="6"/>
      <c r="AG44" s="6"/>
      <c r="AH44" s="6">
        <v>2</v>
      </c>
      <c r="AI44" s="6"/>
      <c r="AJ44" s="6"/>
      <c r="AK44" s="6"/>
      <c r="AL44" s="6"/>
      <c r="AM44" s="6"/>
      <c r="AN44" s="6"/>
      <c r="AO44" s="6"/>
      <c r="AP44" s="43"/>
      <c r="AQ44" s="43"/>
      <c r="AR44" s="60"/>
      <c r="AS44" s="60"/>
      <c r="AT44" s="49">
        <f t="shared" si="0"/>
        <v>5</v>
      </c>
    </row>
    <row r="45" spans="1:46" x14ac:dyDescent="0.15">
      <c r="A45" s="24" t="s">
        <v>1275</v>
      </c>
      <c r="B45" s="2" t="s">
        <v>497</v>
      </c>
      <c r="C45" s="2" t="s">
        <v>760</v>
      </c>
      <c r="D45" s="2" t="s">
        <v>554</v>
      </c>
      <c r="E45" s="2" t="s">
        <v>648</v>
      </c>
      <c r="F45" s="43"/>
      <c r="G45" s="32"/>
      <c r="H45" s="6"/>
      <c r="I45" s="6"/>
      <c r="J45" s="6"/>
      <c r="K45" s="6"/>
      <c r="L45" s="6"/>
      <c r="M45" s="6"/>
      <c r="N45" s="6"/>
      <c r="O45" s="6">
        <v>2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38">
        <v>3</v>
      </c>
      <c r="AB45" s="38"/>
      <c r="AC45" s="6">
        <v>1</v>
      </c>
      <c r="AD45" s="6"/>
      <c r="AE45" s="6">
        <v>1</v>
      </c>
      <c r="AF45" s="6"/>
      <c r="AG45" s="6"/>
      <c r="AH45" s="6">
        <v>2</v>
      </c>
      <c r="AI45" s="6"/>
      <c r="AJ45" s="6"/>
      <c r="AK45" s="6"/>
      <c r="AL45" s="6"/>
      <c r="AM45" s="6"/>
      <c r="AN45" s="6"/>
      <c r="AO45" s="6"/>
      <c r="AP45" s="43"/>
      <c r="AQ45" s="43"/>
      <c r="AR45" s="60"/>
      <c r="AS45" s="60"/>
      <c r="AT45" s="49">
        <f t="shared" si="0"/>
        <v>9</v>
      </c>
    </row>
    <row r="46" spans="1:46" x14ac:dyDescent="0.15">
      <c r="A46" s="24" t="s">
        <v>1055</v>
      </c>
      <c r="B46" s="2" t="s">
        <v>1056</v>
      </c>
      <c r="C46" s="2" t="s">
        <v>1057</v>
      </c>
      <c r="D46" s="2" t="s">
        <v>1058</v>
      </c>
      <c r="E46" s="2" t="s">
        <v>1064</v>
      </c>
      <c r="F46" s="43"/>
      <c r="G46" s="3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38"/>
      <c r="AB46" s="38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43"/>
      <c r="AQ46" s="43"/>
      <c r="AR46" s="60"/>
      <c r="AS46" s="60"/>
      <c r="AT46" s="49">
        <f t="shared" si="0"/>
        <v>0</v>
      </c>
    </row>
    <row r="47" spans="1:46" x14ac:dyDescent="0.15">
      <c r="A47" s="24" t="s">
        <v>310</v>
      </c>
      <c r="B47" s="2" t="s">
        <v>498</v>
      </c>
      <c r="C47" s="2" t="s">
        <v>309</v>
      </c>
      <c r="D47" s="2" t="s">
        <v>1063</v>
      </c>
      <c r="E47" s="2" t="s">
        <v>1065</v>
      </c>
      <c r="F47" s="43"/>
      <c r="G47" s="3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38"/>
      <c r="AB47" s="38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43"/>
      <c r="AQ47" s="43"/>
      <c r="AR47" s="60"/>
      <c r="AS47" s="60"/>
      <c r="AT47" s="49">
        <f t="shared" si="0"/>
        <v>0</v>
      </c>
    </row>
    <row r="48" spans="1:46" x14ac:dyDescent="0.15">
      <c r="A48" s="24" t="s">
        <v>1059</v>
      </c>
      <c r="B48" s="2" t="s">
        <v>1060</v>
      </c>
      <c r="C48" s="2" t="s">
        <v>1062</v>
      </c>
      <c r="D48" s="2" t="s">
        <v>1058</v>
      </c>
      <c r="E48" s="2" t="s">
        <v>1066</v>
      </c>
      <c r="F48" s="43"/>
      <c r="G48" s="3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38"/>
      <c r="AB48" s="38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43"/>
      <c r="AQ48" s="43"/>
      <c r="AR48" s="60"/>
      <c r="AS48" s="60"/>
      <c r="AT48" s="49">
        <f t="shared" si="0"/>
        <v>0</v>
      </c>
    </row>
    <row r="49" spans="1:46" x14ac:dyDescent="0.15">
      <c r="A49" s="24" t="s">
        <v>847</v>
      </c>
      <c r="B49" s="2" t="s">
        <v>848</v>
      </c>
      <c r="C49" s="2" t="s">
        <v>1061</v>
      </c>
      <c r="D49" s="2" t="s">
        <v>850</v>
      </c>
      <c r="E49" s="2" t="s">
        <v>851</v>
      </c>
      <c r="F49" s="43"/>
      <c r="G49" s="32">
        <v>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>
        <v>4</v>
      </c>
      <c r="Y49" s="6"/>
      <c r="Z49" s="6"/>
      <c r="AA49" s="38"/>
      <c r="AB49" s="38"/>
      <c r="AC49" s="6"/>
      <c r="AD49" s="6"/>
      <c r="AE49" s="6">
        <v>1</v>
      </c>
      <c r="AF49" s="6"/>
      <c r="AG49" s="6"/>
      <c r="AH49" s="6">
        <v>2</v>
      </c>
      <c r="AI49" s="6"/>
      <c r="AJ49" s="6"/>
      <c r="AK49" s="6"/>
      <c r="AL49" s="6"/>
      <c r="AM49" s="6"/>
      <c r="AN49" s="6"/>
      <c r="AO49" s="6"/>
      <c r="AP49" s="43"/>
      <c r="AQ49" s="43"/>
      <c r="AR49" s="60"/>
      <c r="AS49" s="60"/>
      <c r="AT49" s="49">
        <f t="shared" si="0"/>
        <v>10</v>
      </c>
    </row>
    <row r="50" spans="1:46" x14ac:dyDescent="0.15">
      <c r="A50" s="24" t="s">
        <v>38</v>
      </c>
      <c r="B50" s="2" t="s">
        <v>388</v>
      </c>
      <c r="C50" s="2" t="s">
        <v>186</v>
      </c>
      <c r="D50" s="2" t="s">
        <v>554</v>
      </c>
      <c r="E50" s="2" t="s">
        <v>663</v>
      </c>
      <c r="F50" s="43"/>
      <c r="G50" s="3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38"/>
      <c r="AB50" s="38"/>
      <c r="AC50" s="6"/>
      <c r="AD50" s="6"/>
      <c r="AE50" s="6"/>
      <c r="AF50" s="6"/>
      <c r="AG50" s="6"/>
      <c r="AH50" s="6">
        <v>2</v>
      </c>
      <c r="AI50" s="6"/>
      <c r="AJ50" s="6"/>
      <c r="AK50" s="6"/>
      <c r="AL50" s="6"/>
      <c r="AM50" s="6"/>
      <c r="AN50" s="6"/>
      <c r="AO50" s="6"/>
      <c r="AP50" s="43"/>
      <c r="AQ50" s="43"/>
      <c r="AR50" s="60"/>
      <c r="AS50" s="60"/>
      <c r="AT50" s="49">
        <f t="shared" si="0"/>
        <v>2</v>
      </c>
    </row>
    <row r="51" spans="1:46" x14ac:dyDescent="0.15">
      <c r="A51" s="24" t="s">
        <v>952</v>
      </c>
      <c r="B51" s="2" t="s">
        <v>954</v>
      </c>
      <c r="C51" s="2" t="s">
        <v>953</v>
      </c>
      <c r="D51" s="2" t="s">
        <v>955</v>
      </c>
      <c r="E51" s="71" t="s">
        <v>643</v>
      </c>
      <c r="F51" s="43"/>
      <c r="G51" s="3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</v>
      </c>
      <c r="X51" s="6"/>
      <c r="Y51" s="6"/>
      <c r="Z51" s="6"/>
      <c r="AA51" s="38"/>
      <c r="AB51" s="38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43"/>
      <c r="AQ51" s="43"/>
      <c r="AR51" s="60"/>
      <c r="AS51" s="60"/>
      <c r="AT51" s="49">
        <f t="shared" si="0"/>
        <v>1</v>
      </c>
    </row>
    <row r="52" spans="1:46" x14ac:dyDescent="0.15">
      <c r="A52" s="24" t="s">
        <v>73</v>
      </c>
      <c r="B52" s="2" t="s">
        <v>389</v>
      </c>
      <c r="C52" s="2" t="s">
        <v>72</v>
      </c>
      <c r="D52" s="7" t="s">
        <v>565</v>
      </c>
      <c r="E52" s="7" t="s">
        <v>985</v>
      </c>
      <c r="F52" s="43"/>
      <c r="G52" s="3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38"/>
      <c r="AB52" s="38"/>
      <c r="AC52" s="6">
        <v>6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43"/>
      <c r="AQ52" s="43"/>
      <c r="AR52" s="60"/>
      <c r="AS52" s="60"/>
      <c r="AT52" s="49">
        <f t="shared" si="0"/>
        <v>6</v>
      </c>
    </row>
    <row r="53" spans="1:46" x14ac:dyDescent="0.15">
      <c r="A53" s="24" t="s">
        <v>69</v>
      </c>
      <c r="B53" s="2" t="s">
        <v>499</v>
      </c>
      <c r="C53" s="2" t="s">
        <v>836</v>
      </c>
      <c r="D53" s="2" t="s">
        <v>578</v>
      </c>
      <c r="E53" s="2" t="s">
        <v>640</v>
      </c>
      <c r="F53" s="43"/>
      <c r="G53" s="32"/>
      <c r="H53" s="6"/>
      <c r="I53" s="6"/>
      <c r="J53" s="6">
        <v>4</v>
      </c>
      <c r="K53" s="6"/>
      <c r="L53" s="6"/>
      <c r="M53" s="6"/>
      <c r="N53" s="6"/>
      <c r="O53" s="6"/>
      <c r="P53" s="6">
        <v>5</v>
      </c>
      <c r="Q53" s="6">
        <v>4</v>
      </c>
      <c r="R53" s="6"/>
      <c r="S53" s="6"/>
      <c r="T53" s="6"/>
      <c r="U53" s="6">
        <v>5</v>
      </c>
      <c r="V53" s="6">
        <v>4</v>
      </c>
      <c r="W53" s="6">
        <v>8</v>
      </c>
      <c r="X53" s="6"/>
      <c r="Y53" s="6"/>
      <c r="Z53" s="6"/>
      <c r="AA53" s="38"/>
      <c r="AB53" s="38"/>
      <c r="AC53" s="6">
        <v>6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43"/>
      <c r="AQ53" s="43"/>
      <c r="AR53" s="60"/>
      <c r="AS53" s="60"/>
      <c r="AT53" s="49">
        <f t="shared" si="0"/>
        <v>36</v>
      </c>
    </row>
    <row r="54" spans="1:46" x14ac:dyDescent="0.15">
      <c r="A54" s="26" t="s">
        <v>116</v>
      </c>
      <c r="B54" s="2" t="s">
        <v>390</v>
      </c>
      <c r="C54" s="2" t="s">
        <v>187</v>
      </c>
      <c r="D54" s="2" t="s">
        <v>579</v>
      </c>
      <c r="E54" s="2" t="s">
        <v>666</v>
      </c>
      <c r="F54" s="43"/>
      <c r="G54" s="3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38"/>
      <c r="AB54" s="38"/>
      <c r="AC54" s="6"/>
      <c r="AD54" s="6"/>
      <c r="AE54" s="6"/>
      <c r="AF54" s="6"/>
      <c r="AG54" s="6"/>
      <c r="AH54" s="6">
        <v>5</v>
      </c>
      <c r="AI54" s="6"/>
      <c r="AJ54" s="6"/>
      <c r="AK54" s="6"/>
      <c r="AL54" s="6"/>
      <c r="AM54" s="6"/>
      <c r="AN54" s="6"/>
      <c r="AO54" s="6"/>
      <c r="AP54" s="43"/>
      <c r="AQ54" s="43"/>
      <c r="AR54" s="60"/>
      <c r="AS54" s="60"/>
      <c r="AT54" s="49">
        <f t="shared" si="0"/>
        <v>5</v>
      </c>
    </row>
    <row r="55" spans="1:46" x14ac:dyDescent="0.15">
      <c r="A55" s="24" t="s">
        <v>117</v>
      </c>
      <c r="B55" s="2" t="s">
        <v>391</v>
      </c>
      <c r="C55" s="2" t="s">
        <v>144</v>
      </c>
      <c r="D55" s="2" t="s">
        <v>562</v>
      </c>
      <c r="E55" s="2" t="s">
        <v>982</v>
      </c>
      <c r="F55" s="43"/>
      <c r="G55" s="3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>
        <v>3</v>
      </c>
      <c r="AA55" s="38"/>
      <c r="AB55" s="38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43"/>
      <c r="AQ55" s="43"/>
      <c r="AR55" s="60"/>
      <c r="AS55" s="60"/>
      <c r="AT55" s="49">
        <f t="shared" si="0"/>
        <v>3</v>
      </c>
    </row>
    <row r="56" spans="1:46" x14ac:dyDescent="0.15">
      <c r="A56" s="24" t="s">
        <v>228</v>
      </c>
      <c r="B56" s="2" t="s">
        <v>501</v>
      </c>
      <c r="C56" s="2" t="s">
        <v>229</v>
      </c>
      <c r="D56" s="2" t="s">
        <v>557</v>
      </c>
      <c r="E56" s="2" t="s">
        <v>667</v>
      </c>
      <c r="F56" s="43"/>
      <c r="G56" s="3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20</v>
      </c>
      <c r="Y56" s="6">
        <v>5</v>
      </c>
      <c r="Z56" s="6"/>
      <c r="AA56" s="38"/>
      <c r="AB56" s="38"/>
      <c r="AC56" s="6"/>
      <c r="AD56" s="6"/>
      <c r="AE56" s="6">
        <v>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43"/>
      <c r="AQ56" s="43"/>
      <c r="AR56" s="60"/>
      <c r="AS56" s="60"/>
      <c r="AT56" s="49">
        <f t="shared" ref="AT56:AT120" si="1">SUM(G56:AS56)</f>
        <v>33</v>
      </c>
    </row>
    <row r="57" spans="1:46" x14ac:dyDescent="0.15">
      <c r="A57" s="24" t="s">
        <v>298</v>
      </c>
      <c r="B57" s="2" t="s">
        <v>502</v>
      </c>
      <c r="C57" s="2" t="s">
        <v>300</v>
      </c>
      <c r="D57" s="2" t="s">
        <v>578</v>
      </c>
      <c r="E57" s="2" t="s">
        <v>668</v>
      </c>
      <c r="F57" s="43"/>
      <c r="G57" s="3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38"/>
      <c r="AB57" s="38"/>
      <c r="AC57" s="6"/>
      <c r="AD57" s="6"/>
      <c r="AE57" s="6"/>
      <c r="AF57" s="6"/>
      <c r="AG57" s="6"/>
      <c r="AH57" s="6">
        <v>6</v>
      </c>
      <c r="AI57" s="6"/>
      <c r="AJ57" s="6"/>
      <c r="AK57" s="6"/>
      <c r="AL57" s="6"/>
      <c r="AM57" s="6"/>
      <c r="AN57" s="6"/>
      <c r="AO57" s="6"/>
      <c r="AP57" s="43"/>
      <c r="AQ57" s="43"/>
      <c r="AR57" s="60"/>
      <c r="AS57" s="60"/>
      <c r="AT57" s="49">
        <f t="shared" si="1"/>
        <v>6</v>
      </c>
    </row>
    <row r="58" spans="1:46" x14ac:dyDescent="0.15">
      <c r="A58" s="24" t="s">
        <v>299</v>
      </c>
      <c r="B58" s="2" t="s">
        <v>503</v>
      </c>
      <c r="C58" s="2" t="s">
        <v>301</v>
      </c>
      <c r="D58" s="2" t="s">
        <v>581</v>
      </c>
      <c r="E58" s="2" t="s">
        <v>662</v>
      </c>
      <c r="F58" s="43"/>
      <c r="G58" s="3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38"/>
      <c r="AB58" s="38"/>
      <c r="AC58" s="6"/>
      <c r="AD58" s="6"/>
      <c r="AE58" s="6"/>
      <c r="AF58" s="6"/>
      <c r="AG58" s="6"/>
      <c r="AH58" s="6">
        <v>3</v>
      </c>
      <c r="AI58" s="6"/>
      <c r="AJ58" s="6"/>
      <c r="AK58" s="6"/>
      <c r="AL58" s="6"/>
      <c r="AM58" s="6"/>
      <c r="AN58" s="6"/>
      <c r="AO58" s="6"/>
      <c r="AP58" s="43"/>
      <c r="AQ58" s="43"/>
      <c r="AR58" s="60"/>
      <c r="AS58" s="60"/>
      <c r="AT58" s="49">
        <f t="shared" si="1"/>
        <v>3</v>
      </c>
    </row>
    <row r="59" spans="1:46" x14ac:dyDescent="0.15">
      <c r="A59" s="24" t="s">
        <v>28</v>
      </c>
      <c r="B59" s="2" t="s">
        <v>392</v>
      </c>
      <c r="C59" s="2" t="s">
        <v>77</v>
      </c>
      <c r="D59" s="2" t="s">
        <v>554</v>
      </c>
      <c r="E59" s="2" t="s">
        <v>669</v>
      </c>
      <c r="F59" s="43"/>
      <c r="G59" s="32">
        <v>6</v>
      </c>
      <c r="H59" s="6">
        <v>4</v>
      </c>
      <c r="I59" s="6">
        <v>6</v>
      </c>
      <c r="J59" s="6">
        <v>5</v>
      </c>
      <c r="K59" s="6">
        <v>5</v>
      </c>
      <c r="L59" s="6">
        <v>6</v>
      </c>
      <c r="M59" s="6">
        <v>4</v>
      </c>
      <c r="N59" s="6"/>
      <c r="O59" s="6">
        <v>8</v>
      </c>
      <c r="P59" s="6">
        <v>3</v>
      </c>
      <c r="Q59" s="6">
        <v>3</v>
      </c>
      <c r="R59" s="6">
        <v>6</v>
      </c>
      <c r="S59" s="6">
        <v>5</v>
      </c>
      <c r="T59" s="6"/>
      <c r="U59" s="6">
        <v>5</v>
      </c>
      <c r="V59" s="6">
        <v>5</v>
      </c>
      <c r="W59" s="6">
        <v>50</v>
      </c>
      <c r="X59" s="6"/>
      <c r="Y59" s="6"/>
      <c r="Z59" s="6"/>
      <c r="AA59" s="38"/>
      <c r="AB59" s="38"/>
      <c r="AC59" s="6"/>
      <c r="AD59" s="6">
        <v>5</v>
      </c>
      <c r="AE59" s="6"/>
      <c r="AF59" s="6"/>
      <c r="AG59" s="6"/>
      <c r="AH59" s="6">
        <v>5</v>
      </c>
      <c r="AI59" s="6"/>
      <c r="AJ59" s="6"/>
      <c r="AK59" s="6"/>
      <c r="AL59" s="6"/>
      <c r="AM59" s="6"/>
      <c r="AN59" s="6"/>
      <c r="AO59" s="6"/>
      <c r="AP59" s="43"/>
      <c r="AQ59" s="43"/>
      <c r="AR59" s="60"/>
      <c r="AS59" s="60"/>
      <c r="AT59" s="49">
        <f t="shared" si="1"/>
        <v>131</v>
      </c>
    </row>
    <row r="60" spans="1:46" x14ac:dyDescent="0.15">
      <c r="A60" s="26" t="s">
        <v>83</v>
      </c>
      <c r="B60" s="2" t="s">
        <v>393</v>
      </c>
      <c r="C60" s="2" t="s">
        <v>188</v>
      </c>
      <c r="D60" s="2" t="s">
        <v>554</v>
      </c>
      <c r="E60" s="2" t="s">
        <v>655</v>
      </c>
      <c r="F60" s="43"/>
      <c r="G60" s="32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38"/>
      <c r="AB60" s="38"/>
      <c r="AC60" s="6">
        <v>4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43"/>
      <c r="AQ60" s="43"/>
      <c r="AR60" s="60"/>
      <c r="AS60" s="60"/>
      <c r="AT60" s="49">
        <f t="shared" si="1"/>
        <v>4</v>
      </c>
    </row>
    <row r="61" spans="1:46" x14ac:dyDescent="0.15">
      <c r="A61" s="23" t="s">
        <v>60</v>
      </c>
      <c r="B61" s="11" t="s">
        <v>394</v>
      </c>
      <c r="C61" s="11" t="s">
        <v>159</v>
      </c>
      <c r="D61" s="11" t="s">
        <v>556</v>
      </c>
      <c r="E61" s="11" t="s">
        <v>670</v>
      </c>
      <c r="F61" s="44" t="s">
        <v>355</v>
      </c>
      <c r="G61" s="50">
        <v>2</v>
      </c>
      <c r="H61" s="12"/>
      <c r="I61" s="12">
        <v>3</v>
      </c>
      <c r="J61" s="12"/>
      <c r="K61" s="12">
        <v>1</v>
      </c>
      <c r="L61" s="12"/>
      <c r="M61" s="12">
        <v>2</v>
      </c>
      <c r="N61" s="12"/>
      <c r="O61" s="12">
        <v>2</v>
      </c>
      <c r="P61" s="12"/>
      <c r="Q61" s="12"/>
      <c r="R61" s="12"/>
      <c r="S61" s="12"/>
      <c r="T61" s="12"/>
      <c r="U61" s="12">
        <v>2</v>
      </c>
      <c r="V61" s="12"/>
      <c r="W61" s="12">
        <v>30</v>
      </c>
      <c r="X61" s="12"/>
      <c r="Y61" s="12"/>
      <c r="Z61" s="12"/>
      <c r="AA61" s="12"/>
      <c r="AB61" s="12"/>
      <c r="AC61" s="6"/>
      <c r="AD61" s="6"/>
      <c r="AE61" s="12"/>
      <c r="AF61" s="12"/>
      <c r="AG61" s="6"/>
      <c r="AH61" s="6">
        <v>5</v>
      </c>
      <c r="AI61" s="6"/>
      <c r="AJ61" s="6"/>
      <c r="AK61" s="6"/>
      <c r="AL61" s="6"/>
      <c r="AM61" s="6"/>
      <c r="AN61" s="6">
        <v>30</v>
      </c>
      <c r="AO61" s="6"/>
      <c r="AP61" s="43"/>
      <c r="AQ61" s="43">
        <v>10</v>
      </c>
      <c r="AR61" s="60"/>
      <c r="AS61" s="60"/>
      <c r="AT61" s="49">
        <f t="shared" si="1"/>
        <v>87</v>
      </c>
    </row>
    <row r="62" spans="1:46" x14ac:dyDescent="0.15">
      <c r="A62" s="25" t="s">
        <v>89</v>
      </c>
      <c r="B62" s="2" t="s">
        <v>395</v>
      </c>
      <c r="C62" s="2" t="s">
        <v>99</v>
      </c>
      <c r="D62" s="2" t="s">
        <v>879</v>
      </c>
      <c r="E62" s="2" t="s">
        <v>643</v>
      </c>
      <c r="F62" s="43"/>
      <c r="G62" s="32"/>
      <c r="H62" s="6"/>
      <c r="I62" s="6"/>
      <c r="J62" s="6"/>
      <c r="K62" s="6"/>
      <c r="L62" s="6">
        <v>6</v>
      </c>
      <c r="M62" s="6"/>
      <c r="N62" s="6"/>
      <c r="O62" s="6">
        <v>2</v>
      </c>
      <c r="P62" s="6"/>
      <c r="Q62" s="6"/>
      <c r="R62" s="6">
        <v>1</v>
      </c>
      <c r="S62" s="6"/>
      <c r="T62" s="6"/>
      <c r="U62" s="6"/>
      <c r="V62" s="6"/>
      <c r="W62" s="6"/>
      <c r="X62" s="6"/>
      <c r="Y62" s="6"/>
      <c r="Z62" s="6"/>
      <c r="AA62" s="38">
        <v>5</v>
      </c>
      <c r="AB62" s="38"/>
      <c r="AC62" s="6"/>
      <c r="AD62" s="6"/>
      <c r="AE62" s="6"/>
      <c r="AF62" s="6"/>
      <c r="AG62" s="6"/>
      <c r="AH62" s="6">
        <v>2</v>
      </c>
      <c r="AI62" s="6"/>
      <c r="AJ62" s="6"/>
      <c r="AK62" s="6"/>
      <c r="AL62" s="6"/>
      <c r="AM62" s="6"/>
      <c r="AN62" s="6"/>
      <c r="AO62" s="6"/>
      <c r="AP62" s="43"/>
      <c r="AQ62" s="43"/>
      <c r="AR62" s="60"/>
      <c r="AS62" s="60"/>
      <c r="AT62" s="49">
        <f t="shared" si="1"/>
        <v>16</v>
      </c>
    </row>
    <row r="63" spans="1:46" x14ac:dyDescent="0.15">
      <c r="A63" s="24" t="s">
        <v>54</v>
      </c>
      <c r="B63" s="2" t="s">
        <v>396</v>
      </c>
      <c r="C63" s="2" t="s">
        <v>160</v>
      </c>
      <c r="D63" s="2" t="s">
        <v>561</v>
      </c>
      <c r="E63" s="2" t="s">
        <v>640</v>
      </c>
      <c r="F63" s="43"/>
      <c r="G63" s="32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1</v>
      </c>
      <c r="V63" s="6"/>
      <c r="W63" s="6"/>
      <c r="X63" s="6"/>
      <c r="Y63" s="6"/>
      <c r="Z63" s="6"/>
      <c r="AA63" s="38"/>
      <c r="AB63" s="38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43"/>
      <c r="AQ63" s="43"/>
      <c r="AR63" s="60"/>
      <c r="AS63" s="60"/>
      <c r="AT63" s="49">
        <f t="shared" si="1"/>
        <v>1</v>
      </c>
    </row>
    <row r="64" spans="1:46" x14ac:dyDescent="0.15">
      <c r="A64" s="24" t="s">
        <v>1140</v>
      </c>
      <c r="B64" s="2"/>
      <c r="C64" s="2" t="s">
        <v>1139</v>
      </c>
      <c r="D64" s="2"/>
      <c r="E64" s="2" t="s">
        <v>1142</v>
      </c>
      <c r="F64" s="43"/>
      <c r="G64" s="3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38"/>
      <c r="AB64" s="38"/>
      <c r="AC64" s="6"/>
      <c r="AD64" s="6"/>
      <c r="AE64" s="6"/>
      <c r="AF64" s="6">
        <v>10</v>
      </c>
      <c r="AG64" s="6"/>
      <c r="AH64" s="6"/>
      <c r="AI64" s="6"/>
      <c r="AJ64" s="6"/>
      <c r="AK64" s="6"/>
      <c r="AL64" s="6"/>
      <c r="AM64" s="6"/>
      <c r="AN64" s="6"/>
      <c r="AO64" s="6"/>
      <c r="AP64" s="43"/>
      <c r="AQ64" s="43"/>
      <c r="AR64" s="60"/>
      <c r="AS64" s="60"/>
      <c r="AT64" s="49">
        <f t="shared" si="1"/>
        <v>10</v>
      </c>
    </row>
    <row r="65" spans="1:46" x14ac:dyDescent="0.15">
      <c r="A65" s="24" t="s">
        <v>628</v>
      </c>
      <c r="B65" s="2" t="s">
        <v>629</v>
      </c>
      <c r="C65" s="2" t="s">
        <v>630</v>
      </c>
      <c r="D65" s="2" t="s">
        <v>631</v>
      </c>
      <c r="E65" s="2" t="s">
        <v>1141</v>
      </c>
      <c r="F65" s="43"/>
      <c r="G65" s="32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38"/>
      <c r="AB65" s="38"/>
      <c r="AC65" s="6"/>
      <c r="AD65" s="6"/>
      <c r="AE65" s="6"/>
      <c r="AF65" s="6">
        <v>5</v>
      </c>
      <c r="AG65" s="6"/>
      <c r="AH65" s="6"/>
      <c r="AI65" s="6"/>
      <c r="AJ65" s="6"/>
      <c r="AK65" s="6"/>
      <c r="AL65" s="6"/>
      <c r="AM65" s="6"/>
      <c r="AN65" s="6"/>
      <c r="AO65" s="6"/>
      <c r="AP65" s="43"/>
      <c r="AQ65" s="43"/>
      <c r="AR65" s="60"/>
      <c r="AS65" s="60"/>
      <c r="AT65" s="49">
        <f t="shared" si="1"/>
        <v>5</v>
      </c>
    </row>
    <row r="66" spans="1:46" x14ac:dyDescent="0.15">
      <c r="A66" s="24" t="s">
        <v>1081</v>
      </c>
      <c r="B66" s="2" t="s">
        <v>1082</v>
      </c>
      <c r="C66" s="2" t="s">
        <v>1083</v>
      </c>
      <c r="D66" s="2" t="s">
        <v>1084</v>
      </c>
      <c r="E66" s="71" t="s">
        <v>1085</v>
      </c>
      <c r="F66" s="43"/>
      <c r="G66" s="3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10</v>
      </c>
      <c r="Z66" s="6"/>
      <c r="AA66" s="38"/>
      <c r="AB66" s="38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43"/>
      <c r="AQ66" s="43"/>
      <c r="AR66" s="60"/>
      <c r="AS66" s="60"/>
      <c r="AT66" s="49">
        <f t="shared" si="1"/>
        <v>10</v>
      </c>
    </row>
    <row r="67" spans="1:46" x14ac:dyDescent="0.15">
      <c r="A67" s="25" t="s">
        <v>321</v>
      </c>
      <c r="B67" s="2" t="s">
        <v>504</v>
      </c>
      <c r="C67" s="2" t="s">
        <v>322</v>
      </c>
      <c r="D67" s="2" t="s">
        <v>582</v>
      </c>
      <c r="E67" s="2" t="s">
        <v>672</v>
      </c>
      <c r="F67" s="43"/>
      <c r="G67" s="3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4</v>
      </c>
      <c r="V67" s="6">
        <v>8</v>
      </c>
      <c r="W67" s="6"/>
      <c r="X67" s="6"/>
      <c r="Y67" s="6"/>
      <c r="Z67" s="6"/>
      <c r="AA67" s="38"/>
      <c r="AB67" s="38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43"/>
      <c r="AQ67" s="43"/>
      <c r="AR67" s="60"/>
      <c r="AS67" s="60"/>
      <c r="AT67" s="49">
        <f t="shared" si="1"/>
        <v>12</v>
      </c>
    </row>
    <row r="68" spans="1:46" x14ac:dyDescent="0.15">
      <c r="A68" s="23" t="s">
        <v>22</v>
      </c>
      <c r="B68" s="11" t="s">
        <v>397</v>
      </c>
      <c r="C68" s="11" t="s">
        <v>218</v>
      </c>
      <c r="D68" s="11" t="s">
        <v>577</v>
      </c>
      <c r="E68" s="11" t="s">
        <v>673</v>
      </c>
      <c r="F68" s="44" t="s">
        <v>339</v>
      </c>
      <c r="G68" s="50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>
        <v>1</v>
      </c>
      <c r="V68" s="12">
        <v>2</v>
      </c>
      <c r="W68" s="12">
        <v>2</v>
      </c>
      <c r="X68" s="12"/>
      <c r="Y68" s="12"/>
      <c r="Z68" s="12"/>
      <c r="AA68" s="12"/>
      <c r="AB68" s="12"/>
      <c r="AC68" s="6"/>
      <c r="AD68" s="6"/>
      <c r="AE68" s="12"/>
      <c r="AF68" s="12"/>
      <c r="AG68" s="6"/>
      <c r="AH68" s="6"/>
      <c r="AI68" s="6"/>
      <c r="AJ68" s="6"/>
      <c r="AK68" s="6"/>
      <c r="AL68" s="6"/>
      <c r="AM68" s="6"/>
      <c r="AN68" s="6"/>
      <c r="AO68" s="6"/>
      <c r="AP68" s="43"/>
      <c r="AQ68" s="43"/>
      <c r="AR68" s="60"/>
      <c r="AS68" s="60"/>
      <c r="AT68" s="49">
        <f t="shared" si="1"/>
        <v>5</v>
      </c>
    </row>
    <row r="69" spans="1:46" x14ac:dyDescent="0.15">
      <c r="A69" s="23" t="s">
        <v>3</v>
      </c>
      <c r="B69" s="11" t="s">
        <v>398</v>
      </c>
      <c r="C69" s="11" t="s">
        <v>219</v>
      </c>
      <c r="D69" s="11" t="s">
        <v>583</v>
      </c>
      <c r="E69" s="11" t="s">
        <v>651</v>
      </c>
      <c r="F69" s="44" t="s">
        <v>339</v>
      </c>
      <c r="G69" s="50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>
        <v>3</v>
      </c>
      <c r="V69" s="12">
        <v>3</v>
      </c>
      <c r="W69" s="12">
        <v>5</v>
      </c>
      <c r="X69" s="12"/>
      <c r="Y69" s="12"/>
      <c r="Z69" s="12"/>
      <c r="AA69" s="12"/>
      <c r="AB69" s="12"/>
      <c r="AC69" s="6">
        <v>2</v>
      </c>
      <c r="AD69" s="6">
        <v>1</v>
      </c>
      <c r="AE69" s="12"/>
      <c r="AF69" s="12"/>
      <c r="AG69" s="6"/>
      <c r="AH69" s="6"/>
      <c r="AI69" s="6"/>
      <c r="AJ69" s="6"/>
      <c r="AK69" s="6"/>
      <c r="AL69" s="6"/>
      <c r="AM69" s="6"/>
      <c r="AN69" s="6"/>
      <c r="AO69" s="6"/>
      <c r="AP69" s="43"/>
      <c r="AQ69" s="43"/>
      <c r="AR69" s="60"/>
      <c r="AS69" s="60"/>
      <c r="AT69" s="49">
        <f t="shared" si="1"/>
        <v>14</v>
      </c>
    </row>
    <row r="70" spans="1:46" x14ac:dyDescent="0.15">
      <c r="A70" s="25" t="s">
        <v>296</v>
      </c>
      <c r="B70" s="2" t="s">
        <v>505</v>
      </c>
      <c r="C70" s="2" t="s">
        <v>297</v>
      </c>
      <c r="D70" s="2" t="s">
        <v>571</v>
      </c>
      <c r="E70" s="2" t="s">
        <v>674</v>
      </c>
      <c r="F70" s="43"/>
      <c r="G70" s="3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38"/>
      <c r="AB70" s="38"/>
      <c r="AC70" s="6"/>
      <c r="AD70" s="6"/>
      <c r="AE70" s="6"/>
      <c r="AF70" s="6">
        <v>1</v>
      </c>
      <c r="AG70" s="6"/>
      <c r="AH70" s="6"/>
      <c r="AI70" s="6"/>
      <c r="AJ70" s="6"/>
      <c r="AK70" s="6"/>
      <c r="AL70" s="6"/>
      <c r="AM70" s="6"/>
      <c r="AN70" s="6"/>
      <c r="AO70" s="6"/>
      <c r="AP70" s="43"/>
      <c r="AQ70" s="43"/>
      <c r="AR70" s="60"/>
      <c r="AS70" s="60"/>
      <c r="AT70" s="49">
        <f t="shared" si="1"/>
        <v>1</v>
      </c>
    </row>
    <row r="71" spans="1:46" x14ac:dyDescent="0.15">
      <c r="A71" s="26" t="s">
        <v>925</v>
      </c>
      <c r="B71" s="2" t="s">
        <v>399</v>
      </c>
      <c r="C71" s="2" t="s">
        <v>151</v>
      </c>
      <c r="D71" s="2" t="s">
        <v>584</v>
      </c>
      <c r="E71" s="2" t="s">
        <v>635</v>
      </c>
      <c r="F71" s="43"/>
      <c r="G71" s="3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2</v>
      </c>
      <c r="T71" s="6"/>
      <c r="U71" s="6"/>
      <c r="V71" s="6"/>
      <c r="W71" s="6"/>
      <c r="X71" s="6"/>
      <c r="Y71" s="6"/>
      <c r="Z71" s="6"/>
      <c r="AA71" s="38"/>
      <c r="AB71" s="38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43"/>
      <c r="AQ71" s="43"/>
      <c r="AR71" s="60"/>
      <c r="AS71" s="60"/>
      <c r="AT71" s="49">
        <f t="shared" si="1"/>
        <v>2</v>
      </c>
    </row>
    <row r="72" spans="1:46" x14ac:dyDescent="0.15">
      <c r="A72" s="26" t="s">
        <v>1185</v>
      </c>
      <c r="B72" s="2"/>
      <c r="C72" s="2" t="s">
        <v>1186</v>
      </c>
      <c r="D72" s="2"/>
      <c r="E72" s="2" t="s">
        <v>1187</v>
      </c>
      <c r="F72" s="43"/>
      <c r="G72" s="3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38"/>
      <c r="AB72" s="38"/>
      <c r="AC72" s="6"/>
      <c r="AD72" s="6"/>
      <c r="AE72" s="6"/>
      <c r="AF72" s="6"/>
      <c r="AG72" s="6"/>
      <c r="AH72" s="6">
        <v>1</v>
      </c>
      <c r="AI72" s="6"/>
      <c r="AJ72" s="6"/>
      <c r="AK72" s="6"/>
      <c r="AL72" s="6"/>
      <c r="AM72" s="6"/>
      <c r="AN72" s="6"/>
      <c r="AO72" s="6"/>
      <c r="AP72" s="43"/>
      <c r="AQ72" s="43"/>
      <c r="AR72" s="60"/>
      <c r="AS72" s="60"/>
      <c r="AT72" s="49">
        <f t="shared" si="1"/>
        <v>1</v>
      </c>
    </row>
    <row r="73" spans="1:46" x14ac:dyDescent="0.15">
      <c r="A73" s="25" t="s">
        <v>767</v>
      </c>
      <c r="B73" s="2" t="s">
        <v>400</v>
      </c>
      <c r="C73" s="2" t="s">
        <v>768</v>
      </c>
      <c r="D73" s="2" t="s">
        <v>769</v>
      </c>
      <c r="E73" s="2" t="s">
        <v>770</v>
      </c>
      <c r="F73" s="43"/>
      <c r="G73" s="3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10</v>
      </c>
      <c r="X73" s="6">
        <v>5</v>
      </c>
      <c r="Y73" s="6"/>
      <c r="Z73" s="6"/>
      <c r="AA73" s="38"/>
      <c r="AB73" s="38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43"/>
      <c r="AQ73" s="43"/>
      <c r="AR73" s="60"/>
      <c r="AS73" s="60"/>
      <c r="AT73" s="49">
        <f t="shared" si="1"/>
        <v>15</v>
      </c>
    </row>
    <row r="74" spans="1:46" x14ac:dyDescent="0.15">
      <c r="A74" s="27" t="s">
        <v>1190</v>
      </c>
      <c r="B74" s="11"/>
      <c r="C74" s="11" t="s">
        <v>1188</v>
      </c>
      <c r="D74" s="11"/>
      <c r="E74" s="11" t="s">
        <v>1189</v>
      </c>
      <c r="F74" s="44"/>
      <c r="G74" s="50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>
        <v>2</v>
      </c>
      <c r="AJ74" s="6"/>
      <c r="AK74" s="6"/>
      <c r="AL74" s="6"/>
      <c r="AM74" s="6"/>
      <c r="AN74" s="6"/>
      <c r="AO74" s="6"/>
      <c r="AP74" s="43"/>
      <c r="AQ74" s="43"/>
      <c r="AR74" s="60"/>
      <c r="AS74" s="60"/>
      <c r="AT74" s="49">
        <f t="shared" si="1"/>
        <v>2</v>
      </c>
    </row>
    <row r="75" spans="1:46" x14ac:dyDescent="0.15">
      <c r="A75" s="23" t="s">
        <v>1192</v>
      </c>
      <c r="B75" s="11" t="s">
        <v>1193</v>
      </c>
      <c r="C75" s="11" t="s">
        <v>1194</v>
      </c>
      <c r="D75" s="11" t="s">
        <v>556</v>
      </c>
      <c r="E75" s="11" t="s">
        <v>675</v>
      </c>
      <c r="F75" s="44" t="s">
        <v>339</v>
      </c>
      <c r="G75" s="50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>
        <v>50</v>
      </c>
      <c r="X75" s="12"/>
      <c r="Y75" s="12"/>
      <c r="Z75" s="12"/>
      <c r="AA75" s="12"/>
      <c r="AB75" s="12"/>
      <c r="AC75" s="6">
        <v>1</v>
      </c>
      <c r="AD75" s="6"/>
      <c r="AE75" s="12"/>
      <c r="AF75" s="12"/>
      <c r="AG75" s="6"/>
      <c r="AH75" s="6"/>
      <c r="AI75" s="6"/>
      <c r="AJ75" s="6"/>
      <c r="AK75" s="6"/>
      <c r="AL75" s="6"/>
      <c r="AM75" s="6"/>
      <c r="AN75" s="6"/>
      <c r="AO75" s="6"/>
      <c r="AP75" s="43"/>
      <c r="AQ75" s="43"/>
      <c r="AR75" s="60"/>
      <c r="AS75" s="60"/>
      <c r="AT75" s="49">
        <f t="shared" si="1"/>
        <v>51</v>
      </c>
    </row>
    <row r="76" spans="1:46" x14ac:dyDescent="0.15">
      <c r="A76" s="27" t="s">
        <v>330</v>
      </c>
      <c r="B76" s="11" t="s">
        <v>506</v>
      </c>
      <c r="C76" s="11" t="s">
        <v>329</v>
      </c>
      <c r="D76" s="11" t="s">
        <v>585</v>
      </c>
      <c r="E76" s="11" t="s">
        <v>655</v>
      </c>
      <c r="F76" s="44" t="s">
        <v>339</v>
      </c>
      <c r="G76" s="50"/>
      <c r="H76" s="12"/>
      <c r="I76" s="12"/>
      <c r="J76" s="12"/>
      <c r="K76" s="12"/>
      <c r="L76" s="12"/>
      <c r="M76" s="12"/>
      <c r="N76" s="12"/>
      <c r="O76" s="12">
        <v>2</v>
      </c>
      <c r="P76" s="12"/>
      <c r="Q76" s="12"/>
      <c r="R76" s="12"/>
      <c r="S76" s="12"/>
      <c r="T76" s="12"/>
      <c r="U76" s="12"/>
      <c r="V76" s="12"/>
      <c r="W76" s="12">
        <v>2</v>
      </c>
      <c r="X76" s="12"/>
      <c r="Y76" s="12"/>
      <c r="Z76" s="12"/>
      <c r="AA76" s="12">
        <v>1</v>
      </c>
      <c r="AB76" s="12"/>
      <c r="AC76" s="6"/>
      <c r="AD76" s="6"/>
      <c r="AE76" s="12"/>
      <c r="AF76" s="12"/>
      <c r="AG76" s="6"/>
      <c r="AH76" s="6"/>
      <c r="AI76" s="6"/>
      <c r="AJ76" s="6"/>
      <c r="AK76" s="6"/>
      <c r="AL76" s="6"/>
      <c r="AM76" s="6"/>
      <c r="AN76" s="6"/>
      <c r="AO76" s="6"/>
      <c r="AP76" s="43"/>
      <c r="AQ76" s="43"/>
      <c r="AR76" s="60"/>
      <c r="AS76" s="60"/>
      <c r="AT76" s="49">
        <f t="shared" si="1"/>
        <v>5</v>
      </c>
    </row>
    <row r="77" spans="1:46" x14ac:dyDescent="0.15">
      <c r="A77" s="23" t="s">
        <v>21</v>
      </c>
      <c r="B77" s="11" t="s">
        <v>402</v>
      </c>
      <c r="C77" s="11" t="s">
        <v>162</v>
      </c>
      <c r="D77" s="11" t="s">
        <v>556</v>
      </c>
      <c r="E77" s="11" t="s">
        <v>676</v>
      </c>
      <c r="F77" s="44" t="s">
        <v>339</v>
      </c>
      <c r="G77" s="50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>
        <v>20</v>
      </c>
      <c r="V77" s="12">
        <v>20</v>
      </c>
      <c r="W77" s="12">
        <v>40</v>
      </c>
      <c r="X77" s="12">
        <v>2</v>
      </c>
      <c r="Y77" s="12"/>
      <c r="Z77" s="12"/>
      <c r="AA77" s="12"/>
      <c r="AB77" s="12"/>
      <c r="AC77" s="6">
        <v>10</v>
      </c>
      <c r="AD77" s="6"/>
      <c r="AE77" s="12"/>
      <c r="AF77" s="12">
        <v>1</v>
      </c>
      <c r="AG77" s="6"/>
      <c r="AH77" s="6"/>
      <c r="AI77" s="6"/>
      <c r="AJ77" s="6"/>
      <c r="AK77" s="6"/>
      <c r="AL77" s="6"/>
      <c r="AM77" s="6"/>
      <c r="AN77" s="6"/>
      <c r="AO77" s="6">
        <v>2</v>
      </c>
      <c r="AP77" s="43"/>
      <c r="AQ77" s="43"/>
      <c r="AR77" s="60"/>
      <c r="AS77" s="60"/>
      <c r="AT77" s="49">
        <f t="shared" si="1"/>
        <v>95</v>
      </c>
    </row>
    <row r="78" spans="1:46" x14ac:dyDescent="0.15">
      <c r="A78" s="24" t="s">
        <v>115</v>
      </c>
      <c r="B78" s="2" t="s">
        <v>403</v>
      </c>
      <c r="C78" s="2" t="s">
        <v>208</v>
      </c>
      <c r="D78" s="2" t="s">
        <v>586</v>
      </c>
      <c r="E78" s="2" t="s">
        <v>750</v>
      </c>
      <c r="F78" s="43"/>
      <c r="G78" s="3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>
        <v>12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43"/>
      <c r="AQ78" s="43"/>
      <c r="AR78" s="60"/>
      <c r="AS78" s="60"/>
      <c r="AT78" s="49">
        <f t="shared" si="1"/>
        <v>12</v>
      </c>
    </row>
    <row r="79" spans="1:46" x14ac:dyDescent="0.15">
      <c r="A79" s="24" t="s">
        <v>230</v>
      </c>
      <c r="B79" s="2" t="s">
        <v>507</v>
      </c>
      <c r="C79" s="2" t="s">
        <v>231</v>
      </c>
      <c r="D79" s="2" t="s">
        <v>586</v>
      </c>
      <c r="E79" s="2" t="s">
        <v>750</v>
      </c>
      <c r="F79" s="43"/>
      <c r="G79" s="3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38"/>
      <c r="AB79" s="38"/>
      <c r="AC79" s="6"/>
      <c r="AD79" s="6">
        <v>12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43"/>
      <c r="AQ79" s="43"/>
      <c r="AR79" s="60"/>
      <c r="AS79" s="60"/>
      <c r="AT79" s="49">
        <f t="shared" si="1"/>
        <v>12</v>
      </c>
    </row>
    <row r="80" spans="1:46" x14ac:dyDescent="0.15">
      <c r="A80" s="24" t="s">
        <v>91</v>
      </c>
      <c r="B80" s="2" t="s">
        <v>404</v>
      </c>
      <c r="C80" s="2" t="s">
        <v>209</v>
      </c>
      <c r="D80" s="2" t="s">
        <v>586</v>
      </c>
      <c r="E80" s="2" t="s">
        <v>750</v>
      </c>
      <c r="F80" s="43"/>
      <c r="G80" s="3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38"/>
      <c r="AB80" s="38"/>
      <c r="AC80" s="6"/>
      <c r="AD80" s="6">
        <v>12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43"/>
      <c r="AQ80" s="43"/>
      <c r="AR80" s="60"/>
      <c r="AS80" s="60"/>
      <c r="AT80" s="49">
        <f t="shared" si="1"/>
        <v>12</v>
      </c>
    </row>
    <row r="81" spans="1:46" x14ac:dyDescent="0.15">
      <c r="A81" s="24" t="s">
        <v>92</v>
      </c>
      <c r="B81" s="2" t="s">
        <v>405</v>
      </c>
      <c r="C81" s="2" t="s">
        <v>210</v>
      </c>
      <c r="D81" s="2" t="s">
        <v>586</v>
      </c>
      <c r="E81" s="2" t="s">
        <v>750</v>
      </c>
      <c r="F81" s="43"/>
      <c r="G81" s="3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38"/>
      <c r="AB81" s="38"/>
      <c r="AC81" s="6"/>
      <c r="AD81" s="6">
        <v>12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43"/>
      <c r="AQ81" s="43"/>
      <c r="AR81" s="60"/>
      <c r="AS81" s="60"/>
      <c r="AT81" s="49">
        <f t="shared" si="1"/>
        <v>12</v>
      </c>
    </row>
    <row r="82" spans="1:46" x14ac:dyDescent="0.15">
      <c r="A82" s="24" t="s">
        <v>94</v>
      </c>
      <c r="B82" s="2" t="s">
        <v>406</v>
      </c>
      <c r="C82" s="2" t="s">
        <v>211</v>
      </c>
      <c r="D82" s="2" t="s">
        <v>587</v>
      </c>
      <c r="E82" s="2" t="s">
        <v>750</v>
      </c>
      <c r="F82" s="43"/>
      <c r="G82" s="3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38"/>
      <c r="AB82" s="38"/>
      <c r="AC82" s="6"/>
      <c r="AD82" s="6">
        <v>12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43"/>
      <c r="AQ82" s="43"/>
      <c r="AR82" s="60"/>
      <c r="AS82" s="60"/>
      <c r="AT82" s="49">
        <f t="shared" si="1"/>
        <v>12</v>
      </c>
    </row>
    <row r="83" spans="1:46" x14ac:dyDescent="0.15">
      <c r="A83" s="24" t="s">
        <v>114</v>
      </c>
      <c r="B83" s="2" t="s">
        <v>407</v>
      </c>
      <c r="C83" s="2" t="s">
        <v>212</v>
      </c>
      <c r="D83" s="2" t="s">
        <v>586</v>
      </c>
      <c r="E83" s="2" t="s">
        <v>750</v>
      </c>
      <c r="F83" s="43"/>
      <c r="G83" s="3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38"/>
      <c r="AB83" s="38"/>
      <c r="AC83" s="6"/>
      <c r="AD83" s="6">
        <v>6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43"/>
      <c r="AQ83" s="43"/>
      <c r="AR83" s="60"/>
      <c r="AS83" s="60"/>
      <c r="AT83" s="49">
        <f t="shared" si="1"/>
        <v>6</v>
      </c>
    </row>
    <row r="84" spans="1:46" x14ac:dyDescent="0.15">
      <c r="A84" s="24" t="s">
        <v>30</v>
      </c>
      <c r="B84" s="2" t="s">
        <v>408</v>
      </c>
      <c r="C84" s="2" t="s">
        <v>163</v>
      </c>
      <c r="D84" s="2" t="s">
        <v>556</v>
      </c>
      <c r="E84" s="2" t="s">
        <v>871</v>
      </c>
      <c r="F84" s="43"/>
      <c r="G84" s="3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2</v>
      </c>
      <c r="X84" s="6">
        <v>2</v>
      </c>
      <c r="Y84" s="6">
        <v>5</v>
      </c>
      <c r="Z84" s="6"/>
      <c r="AA84" s="38"/>
      <c r="AB84" s="38"/>
      <c r="AC84" s="6">
        <v>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43"/>
      <c r="AQ84" s="43"/>
      <c r="AR84" s="60"/>
      <c r="AS84" s="60"/>
      <c r="AT84" s="49">
        <f t="shared" si="1"/>
        <v>17</v>
      </c>
    </row>
    <row r="85" spans="1:46" x14ac:dyDescent="0.15">
      <c r="A85" s="24" t="s">
        <v>543</v>
      </c>
      <c r="B85" s="2" t="s">
        <v>80</v>
      </c>
      <c r="C85" s="2" t="s">
        <v>80</v>
      </c>
      <c r="D85" s="2" t="s">
        <v>574</v>
      </c>
      <c r="E85" s="2" t="s">
        <v>677</v>
      </c>
      <c r="F85" s="43" t="s">
        <v>1297</v>
      </c>
      <c r="G85" s="3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1</v>
      </c>
      <c r="V85" s="6">
        <v>1</v>
      </c>
      <c r="W85" s="6">
        <v>60</v>
      </c>
      <c r="X85" s="6"/>
      <c r="Y85" s="6"/>
      <c r="Z85" s="6"/>
      <c r="AA85" s="38">
        <v>2</v>
      </c>
      <c r="AB85" s="38">
        <v>2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43"/>
      <c r="AQ85" s="43"/>
      <c r="AR85" s="60"/>
      <c r="AS85" s="60"/>
      <c r="AT85" s="49">
        <f t="shared" si="1"/>
        <v>66</v>
      </c>
    </row>
    <row r="86" spans="1:46" x14ac:dyDescent="0.15">
      <c r="A86" s="24" t="s">
        <v>1195</v>
      </c>
      <c r="B86" s="2"/>
      <c r="C86" s="2" t="s">
        <v>1196</v>
      </c>
      <c r="D86" s="2"/>
      <c r="E86" s="2" t="s">
        <v>1197</v>
      </c>
      <c r="F86" s="43"/>
      <c r="G86" s="3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</v>
      </c>
      <c r="V86" s="6"/>
      <c r="W86" s="6"/>
      <c r="X86" s="6"/>
      <c r="Y86" s="6"/>
      <c r="Z86" s="6"/>
      <c r="AA86" s="38"/>
      <c r="AB86" s="38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43"/>
      <c r="AQ86" s="43"/>
      <c r="AR86" s="60"/>
      <c r="AS86" s="60"/>
      <c r="AT86" s="49">
        <f t="shared" si="1"/>
        <v>1</v>
      </c>
    </row>
    <row r="87" spans="1:46" x14ac:dyDescent="0.15">
      <c r="A87" s="27" t="s">
        <v>58</v>
      </c>
      <c r="B87" s="11" t="s">
        <v>409</v>
      </c>
      <c r="C87" s="11" t="s">
        <v>164</v>
      </c>
      <c r="D87" s="11" t="s">
        <v>561</v>
      </c>
      <c r="E87" s="11" t="s">
        <v>678</v>
      </c>
      <c r="F87" s="44" t="s">
        <v>1287</v>
      </c>
      <c r="G87" s="50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43"/>
      <c r="AQ87" s="43"/>
      <c r="AR87" s="60"/>
      <c r="AS87" s="60"/>
      <c r="AT87" s="49">
        <f t="shared" si="1"/>
        <v>0</v>
      </c>
    </row>
    <row r="88" spans="1:46" x14ac:dyDescent="0.15">
      <c r="A88" s="24" t="s">
        <v>825</v>
      </c>
      <c r="B88" s="2" t="s">
        <v>540</v>
      </c>
      <c r="C88" s="2" t="s">
        <v>826</v>
      </c>
      <c r="D88" s="2" t="s">
        <v>827</v>
      </c>
      <c r="E88" s="2" t="s">
        <v>740</v>
      </c>
      <c r="F88" s="43"/>
      <c r="G88" s="3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38"/>
      <c r="AB88" s="38"/>
      <c r="AC88" s="6"/>
      <c r="AD88" s="6"/>
      <c r="AE88" s="6"/>
      <c r="AF88" s="6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43"/>
      <c r="AQ88" s="43"/>
      <c r="AR88" s="60"/>
      <c r="AS88" s="60"/>
      <c r="AT88" s="49">
        <f t="shared" si="1"/>
        <v>1</v>
      </c>
    </row>
    <row r="89" spans="1:46" x14ac:dyDescent="0.15">
      <c r="A89" s="25" t="s">
        <v>272</v>
      </c>
      <c r="B89" s="2" t="s">
        <v>508</v>
      </c>
      <c r="C89" s="2" t="s">
        <v>273</v>
      </c>
      <c r="D89" s="2" t="s">
        <v>572</v>
      </c>
      <c r="E89" s="2" t="s">
        <v>636</v>
      </c>
      <c r="F89" s="43"/>
      <c r="G89" s="3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38"/>
      <c r="AB89" s="38"/>
      <c r="AC89" s="6"/>
      <c r="AD89" s="6"/>
      <c r="AE89" s="6"/>
      <c r="AF89" s="6">
        <v>2</v>
      </c>
      <c r="AG89" s="6"/>
      <c r="AH89" s="6"/>
      <c r="AI89" s="6"/>
      <c r="AJ89" s="6"/>
      <c r="AK89" s="6"/>
      <c r="AL89" s="6"/>
      <c r="AM89" s="6"/>
      <c r="AN89" s="6"/>
      <c r="AO89" s="6"/>
      <c r="AP89" s="43"/>
      <c r="AQ89" s="43"/>
      <c r="AR89" s="60"/>
      <c r="AS89" s="60"/>
      <c r="AT89" s="49">
        <f t="shared" si="1"/>
        <v>2</v>
      </c>
    </row>
    <row r="90" spans="1:46" x14ac:dyDescent="0.15">
      <c r="A90" s="24" t="s">
        <v>775</v>
      </c>
      <c r="B90" s="2" t="s">
        <v>777</v>
      </c>
      <c r="C90" s="2" t="s">
        <v>776</v>
      </c>
      <c r="D90" s="2" t="s">
        <v>778</v>
      </c>
      <c r="E90" s="2" t="s">
        <v>674</v>
      </c>
      <c r="F90" s="43"/>
      <c r="G90" s="3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38"/>
      <c r="AB90" s="38"/>
      <c r="AC90" s="6"/>
      <c r="AD90" s="6"/>
      <c r="AE90" s="6"/>
      <c r="AF90" s="6"/>
      <c r="AG90" s="6"/>
      <c r="AH90" s="6">
        <v>5</v>
      </c>
      <c r="AI90" s="6"/>
      <c r="AJ90" s="6"/>
      <c r="AK90" s="6"/>
      <c r="AL90" s="6"/>
      <c r="AM90" s="6"/>
      <c r="AN90" s="6"/>
      <c r="AO90" s="6"/>
      <c r="AP90" s="43"/>
      <c r="AQ90" s="43"/>
      <c r="AR90" s="60"/>
      <c r="AS90" s="60"/>
      <c r="AT90" s="49">
        <f t="shared" si="1"/>
        <v>5</v>
      </c>
    </row>
    <row r="91" spans="1:46" x14ac:dyDescent="0.15">
      <c r="A91" s="24" t="s">
        <v>1036</v>
      </c>
      <c r="B91" s="2" t="s">
        <v>1037</v>
      </c>
      <c r="C91" s="2" t="s">
        <v>1038</v>
      </c>
      <c r="D91" s="2" t="s">
        <v>1039</v>
      </c>
      <c r="E91" s="2" t="s">
        <v>1040</v>
      </c>
      <c r="F91" s="43"/>
      <c r="G91" s="3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38"/>
      <c r="AB91" s="38"/>
      <c r="AC91" s="6"/>
      <c r="AD91" s="6"/>
      <c r="AE91" s="6"/>
      <c r="AF91" s="6"/>
      <c r="AG91" s="6"/>
      <c r="AH91" s="6">
        <v>6</v>
      </c>
      <c r="AI91" s="6"/>
      <c r="AJ91" s="6"/>
      <c r="AK91" s="6"/>
      <c r="AL91" s="6"/>
      <c r="AM91" s="6"/>
      <c r="AN91" s="6"/>
      <c r="AO91" s="6"/>
      <c r="AP91" s="43"/>
      <c r="AQ91" s="43"/>
      <c r="AR91" s="60"/>
      <c r="AS91" s="60"/>
      <c r="AT91" s="49">
        <f t="shared" si="1"/>
        <v>6</v>
      </c>
    </row>
    <row r="92" spans="1:46" x14ac:dyDescent="0.15">
      <c r="A92" s="25" t="s">
        <v>1221</v>
      </c>
      <c r="B92" s="2" t="s">
        <v>784</v>
      </c>
      <c r="C92" s="2" t="s">
        <v>1222</v>
      </c>
      <c r="D92" s="2" t="s">
        <v>785</v>
      </c>
      <c r="E92" s="2" t="s">
        <v>665</v>
      </c>
      <c r="F92" s="43"/>
      <c r="G92" s="3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38"/>
      <c r="AB92" s="38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43"/>
      <c r="AQ92" s="43"/>
      <c r="AR92" s="60"/>
      <c r="AS92" s="60"/>
      <c r="AT92" s="49">
        <f t="shared" si="1"/>
        <v>0</v>
      </c>
    </row>
    <row r="93" spans="1:46" x14ac:dyDescent="0.15">
      <c r="A93" s="328" t="s">
        <v>1341</v>
      </c>
      <c r="B93" s="2"/>
      <c r="C93" s="329" t="s">
        <v>1342</v>
      </c>
      <c r="D93" s="2"/>
      <c r="E93" s="2" t="s">
        <v>1343</v>
      </c>
      <c r="F93" s="43"/>
      <c r="G93" s="3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38"/>
      <c r="AB93" s="38"/>
      <c r="AC93" s="6"/>
      <c r="AD93" s="6"/>
      <c r="AE93" s="6"/>
      <c r="AF93" s="6"/>
      <c r="AG93" s="6"/>
      <c r="AH93" s="6"/>
      <c r="AI93" s="6"/>
      <c r="AJ93" s="6">
        <v>4</v>
      </c>
      <c r="AK93" s="6"/>
      <c r="AL93" s="6"/>
      <c r="AM93" s="6"/>
      <c r="AN93" s="6"/>
      <c r="AO93" s="6"/>
      <c r="AP93" s="43"/>
      <c r="AQ93" s="43"/>
      <c r="AR93" s="60"/>
      <c r="AS93" s="60"/>
      <c r="AT93" s="49">
        <f t="shared" si="1"/>
        <v>4</v>
      </c>
    </row>
    <row r="94" spans="1:46" x14ac:dyDescent="0.15">
      <c r="A94" s="25" t="s">
        <v>1340</v>
      </c>
      <c r="B94" s="2" t="s">
        <v>105</v>
      </c>
      <c r="C94" s="2" t="s">
        <v>137</v>
      </c>
      <c r="D94" s="2" t="s">
        <v>554</v>
      </c>
      <c r="E94" s="2" t="s">
        <v>679</v>
      </c>
      <c r="F94" s="43"/>
      <c r="G94" s="32">
        <v>2</v>
      </c>
      <c r="H94" s="6"/>
      <c r="I94" s="6">
        <v>1</v>
      </c>
      <c r="J94" s="6"/>
      <c r="K94" s="6"/>
      <c r="L94" s="6"/>
      <c r="M94" s="6"/>
      <c r="N94" s="6"/>
      <c r="O94" s="6">
        <v>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38"/>
      <c r="AB94" s="38"/>
      <c r="AC94" s="6"/>
      <c r="AD94" s="6"/>
      <c r="AE94" s="6">
        <v>4</v>
      </c>
      <c r="AF94" s="6"/>
      <c r="AG94" s="6"/>
      <c r="AH94" s="6">
        <v>3</v>
      </c>
      <c r="AI94" s="6"/>
      <c r="AJ94" s="6"/>
      <c r="AK94" s="6"/>
      <c r="AL94" s="6"/>
      <c r="AM94" s="6"/>
      <c r="AN94" s="6"/>
      <c r="AO94" s="6"/>
      <c r="AP94" s="43"/>
      <c r="AQ94" s="43"/>
      <c r="AR94" s="60"/>
      <c r="AS94" s="60"/>
      <c r="AT94" s="49">
        <f t="shared" si="1"/>
        <v>12</v>
      </c>
    </row>
    <row r="95" spans="1:46" x14ac:dyDescent="0.15">
      <c r="A95" s="25" t="s">
        <v>1200</v>
      </c>
      <c r="B95" s="2"/>
      <c r="C95" s="2" t="s">
        <v>1201</v>
      </c>
      <c r="D95" s="2"/>
      <c r="E95" s="2" t="s">
        <v>1202</v>
      </c>
      <c r="F95" s="43"/>
      <c r="G95" s="3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38"/>
      <c r="AB95" s="38"/>
      <c r="AC95" s="6"/>
      <c r="AD95" s="6"/>
      <c r="AE95" s="6"/>
      <c r="AF95" s="6"/>
      <c r="AG95" s="6"/>
      <c r="AH95" s="6">
        <v>2</v>
      </c>
      <c r="AI95" s="6"/>
      <c r="AJ95" s="6"/>
      <c r="AK95" s="6"/>
      <c r="AL95" s="6"/>
      <c r="AM95" s="6"/>
      <c r="AN95" s="6"/>
      <c r="AO95" s="6"/>
      <c r="AP95" s="43"/>
      <c r="AQ95" s="43"/>
      <c r="AR95" s="60"/>
      <c r="AS95" s="60"/>
      <c r="AT95" s="49">
        <f t="shared" si="1"/>
        <v>2</v>
      </c>
    </row>
    <row r="96" spans="1:46" x14ac:dyDescent="0.15">
      <c r="A96" s="23" t="s">
        <v>11</v>
      </c>
      <c r="B96" s="11" t="s">
        <v>410</v>
      </c>
      <c r="C96" s="11" t="s">
        <v>189</v>
      </c>
      <c r="D96" s="11" t="s">
        <v>554</v>
      </c>
      <c r="E96" s="11" t="s">
        <v>680</v>
      </c>
      <c r="F96" s="44" t="s">
        <v>353</v>
      </c>
      <c r="G96" s="50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6"/>
      <c r="AD96" s="6"/>
      <c r="AE96" s="12">
        <v>2</v>
      </c>
      <c r="AF96" s="12"/>
      <c r="AG96" s="6"/>
      <c r="AH96" s="6"/>
      <c r="AI96" s="6"/>
      <c r="AJ96" s="6"/>
      <c r="AK96" s="6"/>
      <c r="AL96" s="6"/>
      <c r="AM96" s="6">
        <v>4</v>
      </c>
      <c r="AN96" s="6"/>
      <c r="AO96" s="6"/>
      <c r="AP96" s="43"/>
      <c r="AQ96" s="43"/>
      <c r="AR96" s="60"/>
      <c r="AS96" s="60"/>
      <c r="AT96" s="49">
        <f t="shared" si="1"/>
        <v>6</v>
      </c>
    </row>
    <row r="97" spans="1:46" x14ac:dyDescent="0.15">
      <c r="A97" s="24" t="s">
        <v>17</v>
      </c>
      <c r="B97" s="2" t="s">
        <v>411</v>
      </c>
      <c r="C97" s="2" t="s">
        <v>165</v>
      </c>
      <c r="D97" s="2" t="s">
        <v>559</v>
      </c>
      <c r="E97" s="2" t="s">
        <v>681</v>
      </c>
      <c r="F97" s="43"/>
      <c r="G97" s="3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</v>
      </c>
      <c r="W97" s="6"/>
      <c r="X97" s="6"/>
      <c r="Y97" s="6"/>
      <c r="Z97" s="6"/>
      <c r="AA97" s="38"/>
      <c r="AB97" s="38"/>
      <c r="AC97" s="6">
        <v>2</v>
      </c>
      <c r="AD97" s="6"/>
      <c r="AE97" s="6"/>
      <c r="AF97" s="6"/>
      <c r="AG97" s="6"/>
      <c r="AH97" s="6"/>
      <c r="AI97" s="6">
        <v>5</v>
      </c>
      <c r="AJ97" s="6"/>
      <c r="AK97" s="6"/>
      <c r="AL97" s="6"/>
      <c r="AM97" s="6"/>
      <c r="AN97" s="6"/>
      <c r="AO97" s="6"/>
      <c r="AP97" s="43"/>
      <c r="AQ97" s="43"/>
      <c r="AR97" s="60"/>
      <c r="AS97" s="60"/>
      <c r="AT97" s="49">
        <f t="shared" si="1"/>
        <v>9</v>
      </c>
    </row>
    <row r="98" spans="1:46" x14ac:dyDescent="0.15">
      <c r="A98" s="24" t="s">
        <v>232</v>
      </c>
      <c r="B98" s="2" t="s">
        <v>509</v>
      </c>
      <c r="C98" s="2" t="s">
        <v>233</v>
      </c>
      <c r="D98" s="2" t="s">
        <v>559</v>
      </c>
      <c r="E98" s="2" t="s">
        <v>681</v>
      </c>
      <c r="F98" s="43"/>
      <c r="G98" s="3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5</v>
      </c>
      <c r="X98" s="6"/>
      <c r="Y98" s="6"/>
      <c r="Z98" s="6"/>
      <c r="AA98" s="38"/>
      <c r="AB98" s="38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43"/>
      <c r="AQ98" s="43"/>
      <c r="AR98" s="60"/>
      <c r="AS98" s="60"/>
      <c r="AT98" s="49">
        <f t="shared" si="1"/>
        <v>5</v>
      </c>
    </row>
    <row r="99" spans="1:46" x14ac:dyDescent="0.15">
      <c r="A99" s="24" t="s">
        <v>927</v>
      </c>
      <c r="B99" s="2" t="s">
        <v>928</v>
      </c>
      <c r="C99" s="2" t="s">
        <v>926</v>
      </c>
      <c r="D99" s="2" t="s">
        <v>929</v>
      </c>
      <c r="E99" s="71" t="s">
        <v>667</v>
      </c>
      <c r="F99" s="43"/>
      <c r="G99" s="3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</v>
      </c>
      <c r="T99" s="6"/>
      <c r="U99" s="6"/>
      <c r="V99" s="6"/>
      <c r="W99" s="6"/>
      <c r="X99" s="6"/>
      <c r="Y99" s="6"/>
      <c r="Z99" s="6"/>
      <c r="AA99" s="38"/>
      <c r="AB99" s="38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43"/>
      <c r="AQ99" s="43"/>
      <c r="AR99" s="60"/>
      <c r="AS99" s="60"/>
      <c r="AT99" s="49">
        <f t="shared" si="1"/>
        <v>2</v>
      </c>
    </row>
    <row r="100" spans="1:46" x14ac:dyDescent="0.15">
      <c r="A100" s="25" t="s">
        <v>964</v>
      </c>
      <c r="B100" s="2" t="s">
        <v>967</v>
      </c>
      <c r="C100" s="2" t="s">
        <v>963</v>
      </c>
      <c r="D100" s="2"/>
      <c r="E100" s="71" t="s">
        <v>648</v>
      </c>
      <c r="F100" s="43"/>
      <c r="G100" s="3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38"/>
      <c r="AB100" s="38"/>
      <c r="AC100" s="6"/>
      <c r="AD100" s="6"/>
      <c r="AE100" s="6"/>
      <c r="AF100" s="6"/>
      <c r="AG100" s="6"/>
      <c r="AH100" s="6">
        <v>3</v>
      </c>
      <c r="AI100" s="6"/>
      <c r="AJ100" s="6"/>
      <c r="AK100" s="6"/>
      <c r="AL100" s="6"/>
      <c r="AM100" s="6"/>
      <c r="AN100" s="6"/>
      <c r="AO100" s="6"/>
      <c r="AP100" s="43"/>
      <c r="AQ100" s="43"/>
      <c r="AR100" s="60"/>
      <c r="AS100" s="60"/>
      <c r="AT100" s="49">
        <f t="shared" si="1"/>
        <v>3</v>
      </c>
    </row>
    <row r="101" spans="1:46" x14ac:dyDescent="0.15">
      <c r="A101" s="25" t="s">
        <v>965</v>
      </c>
      <c r="B101" s="2" t="s">
        <v>967</v>
      </c>
      <c r="C101" s="2" t="s">
        <v>966</v>
      </c>
      <c r="D101" s="2"/>
      <c r="E101" s="71" t="s">
        <v>648</v>
      </c>
      <c r="F101" s="43"/>
      <c r="G101" s="3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38"/>
      <c r="AB101" s="38"/>
      <c r="AC101" s="6"/>
      <c r="AD101" s="6"/>
      <c r="AE101" s="6"/>
      <c r="AF101" s="6"/>
      <c r="AG101" s="6"/>
      <c r="AH101" s="6">
        <v>3</v>
      </c>
      <c r="AI101" s="6"/>
      <c r="AJ101" s="6"/>
      <c r="AK101" s="6"/>
      <c r="AL101" s="6"/>
      <c r="AM101" s="6"/>
      <c r="AN101" s="6"/>
      <c r="AO101" s="6"/>
      <c r="AP101" s="43"/>
      <c r="AQ101" s="43"/>
      <c r="AR101" s="60"/>
      <c r="AS101" s="60"/>
      <c r="AT101" s="49">
        <f t="shared" si="1"/>
        <v>3</v>
      </c>
    </row>
    <row r="102" spans="1:46" x14ac:dyDescent="0.15">
      <c r="A102" s="25" t="s">
        <v>13</v>
      </c>
      <c r="B102" s="2" t="s">
        <v>101</v>
      </c>
      <c r="C102" s="2" t="s">
        <v>166</v>
      </c>
      <c r="D102" s="2" t="s">
        <v>556</v>
      </c>
      <c r="E102" s="2" t="s">
        <v>655</v>
      </c>
      <c r="F102" s="43"/>
      <c r="G102" s="3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38"/>
      <c r="AB102" s="38"/>
      <c r="AC102" s="6"/>
      <c r="AD102" s="6"/>
      <c r="AE102" s="6"/>
      <c r="AF102" s="6"/>
      <c r="AG102" s="6"/>
      <c r="AH102" s="6">
        <v>5</v>
      </c>
      <c r="AI102" s="6"/>
      <c r="AJ102" s="6"/>
      <c r="AK102" s="6"/>
      <c r="AL102" s="6"/>
      <c r="AM102" s="6"/>
      <c r="AN102" s="6"/>
      <c r="AO102" s="6"/>
      <c r="AP102" s="43"/>
      <c r="AQ102" s="43"/>
      <c r="AR102" s="60"/>
      <c r="AS102" s="60"/>
      <c r="AT102" s="49">
        <f t="shared" si="1"/>
        <v>5</v>
      </c>
    </row>
    <row r="103" spans="1:46" x14ac:dyDescent="0.15">
      <c r="A103" s="25" t="s">
        <v>277</v>
      </c>
      <c r="B103" s="2" t="s">
        <v>510</v>
      </c>
      <c r="C103" s="3" t="s">
        <v>278</v>
      </c>
      <c r="D103" s="2" t="s">
        <v>554</v>
      </c>
      <c r="E103" s="2" t="s">
        <v>682</v>
      </c>
      <c r="F103" s="43"/>
      <c r="G103" s="3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4</v>
      </c>
      <c r="V103" s="6">
        <v>4</v>
      </c>
      <c r="W103" s="6"/>
      <c r="X103" s="6"/>
      <c r="Y103" s="6"/>
      <c r="Z103" s="6"/>
      <c r="AA103" s="38"/>
      <c r="AB103" s="38"/>
      <c r="AC103" s="6"/>
      <c r="AD103" s="6">
        <v>10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43"/>
      <c r="AQ103" s="43"/>
      <c r="AR103" s="60"/>
      <c r="AS103" s="60"/>
      <c r="AT103" s="49">
        <f t="shared" si="1"/>
        <v>18</v>
      </c>
    </row>
    <row r="104" spans="1:46" x14ac:dyDescent="0.15">
      <c r="A104" s="24" t="s">
        <v>124</v>
      </c>
      <c r="B104" s="2" t="s">
        <v>412</v>
      </c>
      <c r="C104" s="2" t="s">
        <v>123</v>
      </c>
      <c r="D104" s="2" t="s">
        <v>571</v>
      </c>
      <c r="E104" s="2" t="s">
        <v>683</v>
      </c>
      <c r="F104" s="43"/>
      <c r="G104" s="3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38"/>
      <c r="AB104" s="38"/>
      <c r="AC104" s="6"/>
      <c r="AD104" s="6"/>
      <c r="AE104" s="6"/>
      <c r="AF104" s="6">
        <v>3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43"/>
      <c r="AQ104" s="43"/>
      <c r="AR104" s="60"/>
      <c r="AS104" s="60"/>
      <c r="AT104" s="49">
        <f t="shared" si="1"/>
        <v>3</v>
      </c>
    </row>
    <row r="105" spans="1:46" x14ac:dyDescent="0.15">
      <c r="A105" s="24" t="s">
        <v>1117</v>
      </c>
      <c r="B105" s="2" t="s">
        <v>1118</v>
      </c>
      <c r="C105" s="2" t="s">
        <v>1119</v>
      </c>
      <c r="D105" s="2" t="s">
        <v>571</v>
      </c>
      <c r="E105" s="2" t="s">
        <v>1116</v>
      </c>
      <c r="F105" s="43"/>
      <c r="G105" s="3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38"/>
      <c r="AB105" s="38"/>
      <c r="AC105" s="6"/>
      <c r="AD105" s="6"/>
      <c r="AE105" s="6"/>
      <c r="AF105" s="6"/>
      <c r="AG105" s="6"/>
      <c r="AH105" s="6">
        <v>5</v>
      </c>
      <c r="AI105" s="6"/>
      <c r="AJ105" s="6"/>
      <c r="AK105" s="6"/>
      <c r="AL105" s="6"/>
      <c r="AM105" s="6"/>
      <c r="AN105" s="6"/>
      <c r="AO105" s="6"/>
      <c r="AP105" s="43"/>
      <c r="AQ105" s="43"/>
      <c r="AR105" s="60"/>
      <c r="AS105" s="60"/>
      <c r="AT105" s="49">
        <f t="shared" si="1"/>
        <v>5</v>
      </c>
    </row>
    <row r="106" spans="1:46" x14ac:dyDescent="0.15">
      <c r="A106" s="24" t="s">
        <v>1009</v>
      </c>
      <c r="B106" s="2" t="s">
        <v>413</v>
      </c>
      <c r="C106" s="2" t="s">
        <v>1010</v>
      </c>
      <c r="D106" s="2" t="s">
        <v>589</v>
      </c>
      <c r="E106" s="2" t="s">
        <v>661</v>
      </c>
      <c r="F106" s="43"/>
      <c r="G106" s="32">
        <v>3</v>
      </c>
      <c r="H106" s="6"/>
      <c r="I106" s="6">
        <v>2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38"/>
      <c r="AB106" s="38"/>
      <c r="AC106" s="6"/>
      <c r="AD106" s="6"/>
      <c r="AE106" s="6"/>
      <c r="AF106" s="6"/>
      <c r="AG106" s="6"/>
      <c r="AH106" s="6">
        <v>2</v>
      </c>
      <c r="AI106" s="6"/>
      <c r="AJ106" s="6"/>
      <c r="AK106" s="6"/>
      <c r="AL106" s="6"/>
      <c r="AM106" s="6"/>
      <c r="AN106" s="6"/>
      <c r="AO106" s="6"/>
      <c r="AP106" s="43"/>
      <c r="AQ106" s="43"/>
      <c r="AR106" s="60"/>
      <c r="AS106" s="60"/>
      <c r="AT106" s="49">
        <f t="shared" si="1"/>
        <v>7</v>
      </c>
    </row>
    <row r="107" spans="1:46" x14ac:dyDescent="0.15">
      <c r="A107" s="24" t="s">
        <v>839</v>
      </c>
      <c r="B107" s="2" t="s">
        <v>414</v>
      </c>
      <c r="C107" s="2" t="s">
        <v>167</v>
      </c>
      <c r="D107" s="2" t="s">
        <v>556</v>
      </c>
      <c r="E107" s="2" t="s">
        <v>751</v>
      </c>
      <c r="F107" s="43"/>
      <c r="G107" s="3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>
        <v>10</v>
      </c>
      <c r="Z107" s="6"/>
      <c r="AA107" s="38"/>
      <c r="AB107" s="38"/>
      <c r="AC107" s="6"/>
      <c r="AD107" s="6"/>
      <c r="AE107" s="6"/>
      <c r="AF107" s="6"/>
      <c r="AG107" s="6"/>
      <c r="AH107" s="6">
        <v>2</v>
      </c>
      <c r="AI107" s="6"/>
      <c r="AJ107" s="6"/>
      <c r="AK107" s="6"/>
      <c r="AL107" s="6"/>
      <c r="AM107" s="6"/>
      <c r="AN107" s="6"/>
      <c r="AO107" s="6"/>
      <c r="AP107" s="43"/>
      <c r="AQ107" s="43"/>
      <c r="AR107" s="60"/>
      <c r="AS107" s="60"/>
      <c r="AT107" s="49">
        <f t="shared" si="1"/>
        <v>12</v>
      </c>
    </row>
    <row r="108" spans="1:46" x14ac:dyDescent="0.15">
      <c r="A108" s="25" t="s">
        <v>106</v>
      </c>
      <c r="B108" s="2" t="s">
        <v>108</v>
      </c>
      <c r="C108" s="2" t="s">
        <v>107</v>
      </c>
      <c r="D108" s="2" t="s">
        <v>571</v>
      </c>
      <c r="E108" s="2" t="s">
        <v>752</v>
      </c>
      <c r="F108" s="43"/>
      <c r="G108" s="3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38"/>
      <c r="AB108" s="38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43"/>
      <c r="AQ108" s="43"/>
      <c r="AR108" s="60"/>
      <c r="AS108" s="60"/>
      <c r="AT108" s="49">
        <f t="shared" si="1"/>
        <v>0</v>
      </c>
    </row>
    <row r="109" spans="1:46" x14ac:dyDescent="0.15">
      <c r="A109" s="25" t="s">
        <v>1384</v>
      </c>
      <c r="B109" s="2"/>
      <c r="C109" s="2" t="s">
        <v>1379</v>
      </c>
      <c r="D109" s="2"/>
      <c r="E109" s="2" t="s">
        <v>1380</v>
      </c>
      <c r="F109" s="43"/>
      <c r="G109" s="3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38"/>
      <c r="AB109" s="38"/>
      <c r="AC109" s="6"/>
      <c r="AD109" s="6"/>
      <c r="AE109" s="6"/>
      <c r="AF109" s="6"/>
      <c r="AG109" s="6"/>
      <c r="AH109" s="6">
        <v>1</v>
      </c>
      <c r="AI109" s="6"/>
      <c r="AJ109" s="6"/>
      <c r="AK109" s="6"/>
      <c r="AL109" s="6"/>
      <c r="AM109" s="6"/>
      <c r="AN109" s="6"/>
      <c r="AO109" s="6"/>
      <c r="AP109" s="43"/>
      <c r="AQ109" s="43"/>
      <c r="AR109" s="60"/>
      <c r="AS109" s="60"/>
      <c r="AT109" s="49">
        <f t="shared" si="1"/>
        <v>1</v>
      </c>
    </row>
    <row r="110" spans="1:46" x14ac:dyDescent="0.15">
      <c r="A110" s="25" t="s">
        <v>946</v>
      </c>
      <c r="B110" s="2" t="s">
        <v>947</v>
      </c>
      <c r="C110" s="2" t="s">
        <v>1385</v>
      </c>
      <c r="D110" s="2" t="s">
        <v>948</v>
      </c>
      <c r="E110" s="2" t="s">
        <v>949</v>
      </c>
      <c r="F110" s="43"/>
      <c r="G110" s="3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>
        <v>10</v>
      </c>
      <c r="Z110" s="6"/>
      <c r="AA110" s="38"/>
      <c r="AB110" s="38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43"/>
      <c r="AQ110" s="43"/>
      <c r="AR110" s="60"/>
      <c r="AS110" s="60"/>
      <c r="AT110" s="49">
        <f t="shared" si="1"/>
        <v>10</v>
      </c>
    </row>
    <row r="111" spans="1:46" x14ac:dyDescent="0.15">
      <c r="A111" s="25" t="s">
        <v>1272</v>
      </c>
      <c r="B111" s="2"/>
      <c r="C111" s="2" t="s">
        <v>1273</v>
      </c>
      <c r="D111" s="2"/>
      <c r="E111" s="2" t="s">
        <v>1274</v>
      </c>
      <c r="F111" s="43" t="s">
        <v>1261</v>
      </c>
      <c r="G111" s="3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>
        <v>2</v>
      </c>
      <c r="V111" s="6"/>
      <c r="W111" s="6"/>
      <c r="X111" s="6"/>
      <c r="Y111" s="6"/>
      <c r="Z111" s="6"/>
      <c r="AA111" s="38"/>
      <c r="AB111" s="38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43"/>
      <c r="AQ111" s="43"/>
      <c r="AR111" s="60"/>
      <c r="AS111" s="60"/>
      <c r="AT111" s="49">
        <f t="shared" si="1"/>
        <v>2</v>
      </c>
    </row>
    <row r="112" spans="1:46" x14ac:dyDescent="0.15">
      <c r="A112" s="24" t="s">
        <v>51</v>
      </c>
      <c r="B112" s="2" t="s">
        <v>415</v>
      </c>
      <c r="C112" s="2" t="s">
        <v>190</v>
      </c>
      <c r="D112" s="2" t="s">
        <v>554</v>
      </c>
      <c r="E112" s="2" t="s">
        <v>644</v>
      </c>
      <c r="F112" s="43" t="s">
        <v>1261</v>
      </c>
      <c r="G112" s="3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>
        <v>2</v>
      </c>
      <c r="V112" s="6"/>
      <c r="W112" s="6"/>
      <c r="X112" s="6"/>
      <c r="Y112" s="6"/>
      <c r="Z112" s="6"/>
      <c r="AA112" s="38"/>
      <c r="AB112" s="38"/>
      <c r="AC112" s="6">
        <v>10</v>
      </c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43"/>
      <c r="AQ112" s="43"/>
      <c r="AR112" s="60"/>
      <c r="AS112" s="60"/>
      <c r="AT112" s="49">
        <f t="shared" si="1"/>
        <v>12</v>
      </c>
    </row>
    <row r="113" spans="1:46" x14ac:dyDescent="0.15">
      <c r="A113" s="24" t="s">
        <v>14</v>
      </c>
      <c r="B113" s="2" t="s">
        <v>416</v>
      </c>
      <c r="C113" s="2" t="s">
        <v>191</v>
      </c>
      <c r="D113" s="2" t="s">
        <v>554</v>
      </c>
      <c r="E113" s="2" t="s">
        <v>684</v>
      </c>
      <c r="F113" s="43" t="s">
        <v>1261</v>
      </c>
      <c r="G113" s="3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>
        <v>3</v>
      </c>
      <c r="W113" s="6"/>
      <c r="X113" s="6"/>
      <c r="Y113" s="6"/>
      <c r="Z113" s="6"/>
      <c r="AA113" s="38">
        <v>3</v>
      </c>
      <c r="AB113" s="38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43"/>
      <c r="AQ113" s="43"/>
      <c r="AR113" s="60"/>
      <c r="AS113" s="60"/>
      <c r="AT113" s="49">
        <f t="shared" si="1"/>
        <v>6</v>
      </c>
    </row>
    <row r="114" spans="1:46" x14ac:dyDescent="0.15">
      <c r="A114" s="25" t="s">
        <v>343</v>
      </c>
      <c r="B114" s="2" t="s">
        <v>511</v>
      </c>
      <c r="C114" s="2" t="s">
        <v>344</v>
      </c>
      <c r="D114" s="2" t="s">
        <v>573</v>
      </c>
      <c r="E114" s="2" t="s">
        <v>643</v>
      </c>
      <c r="F114" s="43" t="s">
        <v>1261</v>
      </c>
      <c r="G114" s="3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>
        <v>2</v>
      </c>
      <c r="V114" s="6"/>
      <c r="W114" s="6"/>
      <c r="X114" s="6"/>
      <c r="Y114" s="6"/>
      <c r="Z114" s="6"/>
      <c r="AA114" s="38"/>
      <c r="AB114" s="38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43"/>
      <c r="AQ114" s="43"/>
      <c r="AR114" s="60"/>
      <c r="AS114" s="60"/>
      <c r="AT114" s="49">
        <f t="shared" si="1"/>
        <v>2</v>
      </c>
    </row>
    <row r="115" spans="1:46" x14ac:dyDescent="0.15">
      <c r="A115" s="25" t="s">
        <v>1325</v>
      </c>
      <c r="B115" s="2"/>
      <c r="C115" s="2" t="s">
        <v>1326</v>
      </c>
      <c r="D115" s="2"/>
      <c r="E115" s="71" t="s">
        <v>648</v>
      </c>
      <c r="F115" s="43"/>
      <c r="G115" s="3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38"/>
      <c r="AB115" s="38"/>
      <c r="AC115" s="6"/>
      <c r="AD115" s="6"/>
      <c r="AE115" s="6"/>
      <c r="AF115" s="6"/>
      <c r="AG115" s="6"/>
      <c r="AH115" s="6">
        <v>3</v>
      </c>
      <c r="AI115" s="6"/>
      <c r="AJ115" s="6"/>
      <c r="AK115" s="6"/>
      <c r="AL115" s="6"/>
      <c r="AM115" s="6"/>
      <c r="AN115" s="6"/>
      <c r="AO115" s="6"/>
      <c r="AP115" s="43"/>
      <c r="AQ115" s="43"/>
      <c r="AR115" s="60"/>
      <c r="AS115" s="60"/>
      <c r="AT115" s="49">
        <f t="shared" si="1"/>
        <v>3</v>
      </c>
    </row>
    <row r="116" spans="1:46" x14ac:dyDescent="0.15">
      <c r="A116" s="24" t="s">
        <v>885</v>
      </c>
      <c r="B116" s="2" t="s">
        <v>417</v>
      </c>
      <c r="C116" s="2" t="s">
        <v>192</v>
      </c>
      <c r="D116" s="2" t="s">
        <v>554</v>
      </c>
      <c r="E116" s="2" t="s">
        <v>685</v>
      </c>
      <c r="F116" s="43"/>
      <c r="G116" s="32"/>
      <c r="H116" s="6">
        <v>1</v>
      </c>
      <c r="I116" s="6"/>
      <c r="J116" s="6"/>
      <c r="K116" s="6"/>
      <c r="L116" s="6"/>
      <c r="M116" s="6"/>
      <c r="N116" s="6"/>
      <c r="O116" s="6"/>
      <c r="P116" s="6">
        <v>2</v>
      </c>
      <c r="Q116" s="6"/>
      <c r="R116" s="6"/>
      <c r="S116" s="6"/>
      <c r="T116" s="6"/>
      <c r="U116" s="6">
        <v>2</v>
      </c>
      <c r="V116" s="6">
        <v>2</v>
      </c>
      <c r="W116" s="6">
        <v>2</v>
      </c>
      <c r="X116" s="6"/>
      <c r="Y116" s="6"/>
      <c r="Z116" s="6"/>
      <c r="AA116" s="38">
        <v>2</v>
      </c>
      <c r="AB116" s="38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43"/>
      <c r="AQ116" s="43"/>
      <c r="AR116" s="60"/>
      <c r="AS116" s="60"/>
      <c r="AT116" s="49">
        <f t="shared" si="1"/>
        <v>11</v>
      </c>
    </row>
    <row r="117" spans="1:46" x14ac:dyDescent="0.15">
      <c r="A117" s="24" t="s">
        <v>1346</v>
      </c>
      <c r="B117" s="2"/>
      <c r="C117" s="2" t="s">
        <v>1351</v>
      </c>
      <c r="D117" s="2"/>
      <c r="E117" s="2" t="s">
        <v>1352</v>
      </c>
      <c r="F117" s="43"/>
      <c r="G117" s="3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38"/>
      <c r="AB117" s="38"/>
      <c r="AC117" s="6"/>
      <c r="AD117" s="6"/>
      <c r="AE117" s="6"/>
      <c r="AF117" s="6">
        <v>3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43"/>
      <c r="AQ117" s="43"/>
      <c r="AR117" s="60"/>
      <c r="AS117" s="60"/>
      <c r="AT117" s="49">
        <f t="shared" si="1"/>
        <v>3</v>
      </c>
    </row>
    <row r="118" spans="1:46" x14ac:dyDescent="0.15">
      <c r="A118" s="25" t="s">
        <v>287</v>
      </c>
      <c r="B118" s="2" t="s">
        <v>512</v>
      </c>
      <c r="C118" s="2" t="s">
        <v>288</v>
      </c>
      <c r="D118" s="2" t="s">
        <v>554</v>
      </c>
      <c r="E118" s="2" t="s">
        <v>686</v>
      </c>
      <c r="F118" s="43"/>
      <c r="G118" s="3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>
        <v>50</v>
      </c>
      <c r="Z118" s="6"/>
      <c r="AA118" s="38"/>
      <c r="AB118" s="38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43"/>
      <c r="AQ118" s="43"/>
      <c r="AR118" s="60"/>
      <c r="AS118" s="60"/>
      <c r="AT118" s="49">
        <f t="shared" si="1"/>
        <v>50</v>
      </c>
    </row>
    <row r="119" spans="1:46" x14ac:dyDescent="0.15">
      <c r="A119" s="24" t="s">
        <v>840</v>
      </c>
      <c r="B119" s="2" t="s">
        <v>545</v>
      </c>
      <c r="C119" s="2" t="s">
        <v>334</v>
      </c>
      <c r="D119" s="2" t="s">
        <v>556</v>
      </c>
      <c r="E119" s="2" t="s">
        <v>753</v>
      </c>
      <c r="F119" s="43"/>
      <c r="G119" s="32"/>
      <c r="H119" s="6">
        <v>1</v>
      </c>
      <c r="I119" s="6">
        <v>1</v>
      </c>
      <c r="J119" s="6"/>
      <c r="K119" s="6">
        <v>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38">
        <v>10</v>
      </c>
      <c r="AB119" s="38"/>
      <c r="AC119" s="6"/>
      <c r="AD119" s="6">
        <v>2</v>
      </c>
      <c r="AE119" s="6"/>
      <c r="AF119" s="6"/>
      <c r="AG119" s="6"/>
      <c r="AH119" s="6">
        <v>2</v>
      </c>
      <c r="AI119" s="6"/>
      <c r="AJ119" s="6"/>
      <c r="AK119" s="6"/>
      <c r="AL119" s="6"/>
      <c r="AM119" s="6"/>
      <c r="AN119" s="6"/>
      <c r="AO119" s="6"/>
      <c r="AP119" s="43"/>
      <c r="AQ119" s="43"/>
      <c r="AR119" s="60"/>
      <c r="AS119" s="60"/>
      <c r="AT119" s="49">
        <f t="shared" si="1"/>
        <v>17</v>
      </c>
    </row>
    <row r="120" spans="1:46" x14ac:dyDescent="0.15">
      <c r="A120" s="24" t="s">
        <v>1107</v>
      </c>
      <c r="B120" s="2" t="s">
        <v>1109</v>
      </c>
      <c r="C120" s="2" t="s">
        <v>1111</v>
      </c>
      <c r="D120" s="2" t="s">
        <v>1113</v>
      </c>
      <c r="E120" s="2" t="s">
        <v>1115</v>
      </c>
      <c r="F120" s="43"/>
      <c r="G120" s="3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38"/>
      <c r="AB120" s="38"/>
      <c r="AC120" s="6"/>
      <c r="AD120" s="6"/>
      <c r="AE120" s="6"/>
      <c r="AF120" s="6"/>
      <c r="AG120" s="6"/>
      <c r="AH120" s="6">
        <v>3</v>
      </c>
      <c r="AI120" s="6"/>
      <c r="AJ120" s="6"/>
      <c r="AK120" s="6"/>
      <c r="AL120" s="6"/>
      <c r="AM120" s="6"/>
      <c r="AN120" s="6"/>
      <c r="AO120" s="6"/>
      <c r="AP120" s="43"/>
      <c r="AQ120" s="43"/>
      <c r="AR120" s="60"/>
      <c r="AS120" s="60"/>
      <c r="AT120" s="49">
        <f t="shared" si="1"/>
        <v>3</v>
      </c>
    </row>
    <row r="121" spans="1:46" x14ac:dyDescent="0.15">
      <c r="A121" s="25" t="s">
        <v>110</v>
      </c>
      <c r="B121" s="2" t="s">
        <v>418</v>
      </c>
      <c r="C121" s="2" t="s">
        <v>193</v>
      </c>
      <c r="D121" s="2" t="s">
        <v>591</v>
      </c>
      <c r="E121" s="2" t="s">
        <v>687</v>
      </c>
      <c r="F121" s="43"/>
      <c r="G121" s="3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38"/>
      <c r="AB121" s="38"/>
      <c r="AC121" s="6"/>
      <c r="AD121" s="6"/>
      <c r="AE121" s="6"/>
      <c r="AF121" s="6"/>
      <c r="AG121" s="6"/>
      <c r="AH121" s="6">
        <v>1</v>
      </c>
      <c r="AI121" s="6"/>
      <c r="AJ121" s="6"/>
      <c r="AK121" s="6"/>
      <c r="AL121" s="6"/>
      <c r="AM121" s="6"/>
      <c r="AN121" s="6"/>
      <c r="AO121" s="6"/>
      <c r="AP121" s="43"/>
      <c r="AQ121" s="43"/>
      <c r="AR121" s="60"/>
      <c r="AS121" s="60"/>
      <c r="AT121" s="49">
        <f t="shared" ref="AT121:AT184" si="2">SUM(G121:AS121)</f>
        <v>1</v>
      </c>
    </row>
    <row r="122" spans="1:46" x14ac:dyDescent="0.15">
      <c r="A122" s="25" t="s">
        <v>111</v>
      </c>
      <c r="B122" s="2" t="s">
        <v>419</v>
      </c>
      <c r="C122" s="2" t="s">
        <v>194</v>
      </c>
      <c r="D122" s="2" t="s">
        <v>592</v>
      </c>
      <c r="E122" s="2" t="s">
        <v>687</v>
      </c>
      <c r="F122" s="43"/>
      <c r="G122" s="3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38"/>
      <c r="AB122" s="38"/>
      <c r="AC122" s="6"/>
      <c r="AD122" s="6"/>
      <c r="AE122" s="6"/>
      <c r="AF122" s="6"/>
      <c r="AG122" s="6"/>
      <c r="AH122" s="6">
        <v>1</v>
      </c>
      <c r="AI122" s="6"/>
      <c r="AJ122" s="6"/>
      <c r="AK122" s="6"/>
      <c r="AL122" s="6"/>
      <c r="AM122" s="6"/>
      <c r="AN122" s="6"/>
      <c r="AO122" s="6"/>
      <c r="AP122" s="43"/>
      <c r="AQ122" s="43"/>
      <c r="AR122" s="60"/>
      <c r="AS122" s="60"/>
      <c r="AT122" s="49">
        <f t="shared" si="2"/>
        <v>1</v>
      </c>
    </row>
    <row r="123" spans="1:46" x14ac:dyDescent="0.15">
      <c r="A123" s="25" t="s">
        <v>362</v>
      </c>
      <c r="B123" s="2" t="s">
        <v>514</v>
      </c>
      <c r="C123" s="2" t="s">
        <v>363</v>
      </c>
      <c r="D123" s="2" t="s">
        <v>562</v>
      </c>
      <c r="E123" s="2" t="s">
        <v>688</v>
      </c>
      <c r="F123" s="43"/>
      <c r="G123" s="3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38"/>
      <c r="AB123" s="38"/>
      <c r="AC123" s="6"/>
      <c r="AD123" s="6"/>
      <c r="AE123" s="6"/>
      <c r="AF123" s="6"/>
      <c r="AG123" s="6"/>
      <c r="AH123" s="6">
        <v>1</v>
      </c>
      <c r="AI123" s="6"/>
      <c r="AJ123" s="6"/>
      <c r="AK123" s="6"/>
      <c r="AL123" s="6"/>
      <c r="AM123" s="6"/>
      <c r="AN123" s="6"/>
      <c r="AO123" s="6"/>
      <c r="AP123" s="43"/>
      <c r="AQ123" s="43"/>
      <c r="AR123" s="60"/>
      <c r="AS123" s="60"/>
      <c r="AT123" s="49">
        <f t="shared" si="2"/>
        <v>1</v>
      </c>
    </row>
    <row r="124" spans="1:46" x14ac:dyDescent="0.15">
      <c r="A124" s="25" t="s">
        <v>360</v>
      </c>
      <c r="B124" s="2" t="s">
        <v>513</v>
      </c>
      <c r="C124" s="2" t="s">
        <v>361</v>
      </c>
      <c r="D124" s="2" t="s">
        <v>562</v>
      </c>
      <c r="E124" s="2" t="s">
        <v>688</v>
      </c>
      <c r="F124" s="43"/>
      <c r="G124" s="3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38"/>
      <c r="AB124" s="38"/>
      <c r="AC124" s="6"/>
      <c r="AD124" s="6"/>
      <c r="AE124" s="6"/>
      <c r="AF124" s="6"/>
      <c r="AG124" s="6"/>
      <c r="AH124" s="6">
        <v>1</v>
      </c>
      <c r="AI124" s="6"/>
      <c r="AJ124" s="6"/>
      <c r="AK124" s="6"/>
      <c r="AL124" s="6"/>
      <c r="AM124" s="6"/>
      <c r="AN124" s="6"/>
      <c r="AO124" s="6"/>
      <c r="AP124" s="43"/>
      <c r="AQ124" s="43"/>
      <c r="AR124" s="60"/>
      <c r="AS124" s="60"/>
      <c r="AT124" s="49">
        <f t="shared" si="2"/>
        <v>1</v>
      </c>
    </row>
    <row r="125" spans="1:46" x14ac:dyDescent="0.15">
      <c r="A125" s="25" t="s">
        <v>364</v>
      </c>
      <c r="B125" s="2" t="s">
        <v>515</v>
      </c>
      <c r="C125" s="2" t="s">
        <v>365</v>
      </c>
      <c r="D125" s="2" t="s">
        <v>562</v>
      </c>
      <c r="E125" s="2" t="s">
        <v>688</v>
      </c>
      <c r="F125" s="43"/>
      <c r="G125" s="3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38"/>
      <c r="AB125" s="38"/>
      <c r="AC125" s="6"/>
      <c r="AD125" s="6"/>
      <c r="AE125" s="6"/>
      <c r="AF125" s="6"/>
      <c r="AG125" s="6"/>
      <c r="AH125" s="6">
        <v>1</v>
      </c>
      <c r="AI125" s="6"/>
      <c r="AJ125" s="6"/>
      <c r="AK125" s="6"/>
      <c r="AL125" s="6"/>
      <c r="AM125" s="6"/>
      <c r="AN125" s="6"/>
      <c r="AO125" s="6"/>
      <c r="AP125" s="43"/>
      <c r="AQ125" s="43"/>
      <c r="AR125" s="60"/>
      <c r="AS125" s="60"/>
      <c r="AT125" s="49">
        <f t="shared" si="2"/>
        <v>1</v>
      </c>
    </row>
    <row r="126" spans="1:46" x14ac:dyDescent="0.15">
      <c r="A126" s="25" t="s">
        <v>852</v>
      </c>
      <c r="B126" s="2" t="s">
        <v>854</v>
      </c>
      <c r="C126" s="2" t="s">
        <v>853</v>
      </c>
      <c r="D126" s="2" t="s">
        <v>855</v>
      </c>
      <c r="E126" s="2" t="s">
        <v>856</v>
      </c>
      <c r="F126" s="43"/>
      <c r="G126" s="3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38"/>
      <c r="AB126" s="38"/>
      <c r="AC126" s="6"/>
      <c r="AD126" s="6"/>
      <c r="AE126" s="6"/>
      <c r="AF126" s="6">
        <v>1</v>
      </c>
      <c r="AG126" s="6"/>
      <c r="AH126" s="6"/>
      <c r="AI126" s="6"/>
      <c r="AJ126" s="6"/>
      <c r="AK126" s="6"/>
      <c r="AL126" s="6"/>
      <c r="AM126" s="6"/>
      <c r="AN126" s="6"/>
      <c r="AO126" s="6"/>
      <c r="AP126" s="43"/>
      <c r="AQ126" s="43"/>
      <c r="AR126" s="60"/>
      <c r="AS126" s="60"/>
      <c r="AT126" s="49">
        <f t="shared" si="2"/>
        <v>1</v>
      </c>
    </row>
    <row r="127" spans="1:46" x14ac:dyDescent="0.15">
      <c r="A127" s="24" t="s">
        <v>1263</v>
      </c>
      <c r="B127" s="2" t="s">
        <v>546</v>
      </c>
      <c r="C127" s="2" t="s">
        <v>1264</v>
      </c>
      <c r="D127" s="2" t="s">
        <v>561</v>
      </c>
      <c r="E127" s="2" t="s">
        <v>689</v>
      </c>
      <c r="F127" s="43"/>
      <c r="G127" s="3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38">
        <v>2</v>
      </c>
      <c r="AB127" s="38"/>
      <c r="AC127" s="6">
        <v>3</v>
      </c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43"/>
      <c r="AQ127" s="43"/>
      <c r="AR127" s="60"/>
      <c r="AS127" s="60"/>
      <c r="AT127" s="49">
        <f t="shared" si="2"/>
        <v>5</v>
      </c>
    </row>
    <row r="128" spans="1:46" x14ac:dyDescent="0.15">
      <c r="A128" s="24" t="s">
        <v>295</v>
      </c>
      <c r="B128" s="2" t="s">
        <v>516</v>
      </c>
      <c r="C128" s="2" t="s">
        <v>313</v>
      </c>
      <c r="D128" s="2" t="s">
        <v>554</v>
      </c>
      <c r="E128" s="2" t="s">
        <v>865</v>
      </c>
      <c r="F128" s="43"/>
      <c r="G128" s="3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38"/>
      <c r="AB128" s="38"/>
      <c r="AC128" s="6"/>
      <c r="AD128" s="6"/>
      <c r="AE128" s="6"/>
      <c r="AF128" s="6">
        <v>2</v>
      </c>
      <c r="AG128" s="6"/>
      <c r="AH128" s="6"/>
      <c r="AI128" s="6"/>
      <c r="AJ128" s="6"/>
      <c r="AK128" s="6"/>
      <c r="AL128" s="6"/>
      <c r="AM128" s="6"/>
      <c r="AN128" s="6"/>
      <c r="AO128" s="6"/>
      <c r="AP128" s="43"/>
      <c r="AQ128" s="43"/>
      <c r="AR128" s="60"/>
      <c r="AS128" s="60"/>
      <c r="AT128" s="49">
        <f t="shared" si="2"/>
        <v>2</v>
      </c>
    </row>
    <row r="129" spans="1:46" x14ac:dyDescent="0.15">
      <c r="A129" s="24" t="s">
        <v>357</v>
      </c>
      <c r="B129" s="2" t="s">
        <v>517</v>
      </c>
      <c r="C129" s="2" t="s">
        <v>358</v>
      </c>
      <c r="D129" s="2" t="s">
        <v>554</v>
      </c>
      <c r="E129" s="2" t="s">
        <v>690</v>
      </c>
      <c r="F129" s="43"/>
      <c r="G129" s="3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38"/>
      <c r="AB129" s="38"/>
      <c r="AC129" s="6"/>
      <c r="AD129" s="6"/>
      <c r="AE129" s="6"/>
      <c r="AF129" s="6">
        <v>5</v>
      </c>
      <c r="AG129" s="6"/>
      <c r="AH129" s="6"/>
      <c r="AI129" s="6"/>
      <c r="AJ129" s="6"/>
      <c r="AK129" s="6"/>
      <c r="AL129" s="6"/>
      <c r="AM129" s="6"/>
      <c r="AN129" s="6"/>
      <c r="AO129" s="6"/>
      <c r="AP129" s="43"/>
      <c r="AQ129" s="43"/>
      <c r="AR129" s="60"/>
      <c r="AS129" s="60"/>
      <c r="AT129" s="49">
        <f t="shared" si="2"/>
        <v>5</v>
      </c>
    </row>
    <row r="130" spans="1:46" x14ac:dyDescent="0.15">
      <c r="A130" s="27" t="s">
        <v>53</v>
      </c>
      <c r="B130" s="11" t="s">
        <v>420</v>
      </c>
      <c r="C130" s="11" t="s">
        <v>130</v>
      </c>
      <c r="D130" s="11" t="s">
        <v>556</v>
      </c>
      <c r="E130" s="11" t="s">
        <v>983</v>
      </c>
      <c r="F130" s="44"/>
      <c r="G130" s="50">
        <v>4</v>
      </c>
      <c r="H130" s="12">
        <v>2</v>
      </c>
      <c r="I130" s="12">
        <v>5</v>
      </c>
      <c r="J130" s="12">
        <v>2</v>
      </c>
      <c r="K130" s="12">
        <v>5</v>
      </c>
      <c r="L130" s="12">
        <v>3</v>
      </c>
      <c r="M130" s="12">
        <v>3</v>
      </c>
      <c r="N130" s="12"/>
      <c r="O130" s="12">
        <v>2</v>
      </c>
      <c r="P130" s="12">
        <v>3</v>
      </c>
      <c r="Q130" s="12">
        <v>3</v>
      </c>
      <c r="R130" s="12">
        <v>3</v>
      </c>
      <c r="S130" s="12">
        <v>5</v>
      </c>
      <c r="T130" s="12"/>
      <c r="U130" s="12">
        <v>5</v>
      </c>
      <c r="V130" s="12"/>
      <c r="W130" s="12">
        <v>40</v>
      </c>
      <c r="X130" s="12">
        <v>3</v>
      </c>
      <c r="Y130" s="12"/>
      <c r="Z130" s="12"/>
      <c r="AA130" s="12">
        <v>10</v>
      </c>
      <c r="AB130" s="12"/>
      <c r="AC130" s="6"/>
      <c r="AD130" s="6">
        <v>2</v>
      </c>
      <c r="AE130" s="12"/>
      <c r="AF130" s="12"/>
      <c r="AG130" s="6"/>
      <c r="AH130" s="6">
        <v>5</v>
      </c>
      <c r="AI130" s="6"/>
      <c r="AJ130" s="6"/>
      <c r="AK130" s="6"/>
      <c r="AL130" s="6"/>
      <c r="AM130" s="6"/>
      <c r="AN130" s="6"/>
      <c r="AO130" s="6"/>
      <c r="AP130" s="43"/>
      <c r="AQ130" s="43"/>
      <c r="AR130" s="60"/>
      <c r="AS130" s="60"/>
      <c r="AT130" s="49">
        <f t="shared" si="2"/>
        <v>105</v>
      </c>
    </row>
    <row r="131" spans="1:46" x14ac:dyDescent="0.15">
      <c r="A131" s="25" t="s">
        <v>87</v>
      </c>
      <c r="B131" s="2" t="s">
        <v>421</v>
      </c>
      <c r="C131" s="2" t="s">
        <v>168</v>
      </c>
      <c r="D131" s="2" t="s">
        <v>556</v>
      </c>
      <c r="E131" s="2" t="s">
        <v>691</v>
      </c>
      <c r="F131" s="43"/>
      <c r="G131" s="32">
        <v>3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>
        <v>5</v>
      </c>
      <c r="V131" s="6"/>
      <c r="W131" s="6">
        <v>20</v>
      </c>
      <c r="X131" s="6">
        <v>6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43"/>
      <c r="AQ131" s="43"/>
      <c r="AR131" s="60"/>
      <c r="AS131" s="60"/>
      <c r="AT131" s="49">
        <f t="shared" si="2"/>
        <v>34</v>
      </c>
    </row>
    <row r="132" spans="1:46" x14ac:dyDescent="0.15">
      <c r="A132" s="25" t="s">
        <v>1178</v>
      </c>
      <c r="B132" s="2"/>
      <c r="C132" s="2" t="s">
        <v>1179</v>
      </c>
      <c r="D132" s="2"/>
      <c r="E132" s="71" t="s">
        <v>660</v>
      </c>
      <c r="F132" s="43"/>
      <c r="G132" s="3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>
        <v>1</v>
      </c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43"/>
      <c r="AQ132" s="43"/>
      <c r="AR132" s="60"/>
      <c r="AS132" s="60"/>
      <c r="AT132" s="49">
        <f t="shared" si="2"/>
        <v>1</v>
      </c>
    </row>
    <row r="133" spans="1:46" x14ac:dyDescent="0.15">
      <c r="A133" s="325" t="s">
        <v>1308</v>
      </c>
      <c r="B133" s="2" t="s">
        <v>1132</v>
      </c>
      <c r="C133" s="2" t="s">
        <v>1133</v>
      </c>
      <c r="D133" s="2" t="s">
        <v>556</v>
      </c>
      <c r="E133" s="2" t="s">
        <v>1134</v>
      </c>
      <c r="F133" s="43"/>
      <c r="G133" s="3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>
        <v>10</v>
      </c>
      <c r="AI133" s="6"/>
      <c r="AJ133" s="6"/>
      <c r="AK133" s="6"/>
      <c r="AL133" s="6"/>
      <c r="AM133" s="6"/>
      <c r="AN133" s="6"/>
      <c r="AO133" s="6"/>
      <c r="AP133" s="43"/>
      <c r="AQ133" s="43"/>
      <c r="AR133" s="60"/>
      <c r="AS133" s="60"/>
      <c r="AT133" s="49">
        <f t="shared" si="2"/>
        <v>10</v>
      </c>
    </row>
    <row r="134" spans="1:46" x14ac:dyDescent="0.15">
      <c r="A134" s="23" t="s">
        <v>63</v>
      </c>
      <c r="B134" s="11" t="s">
        <v>422</v>
      </c>
      <c r="C134" s="11" t="s">
        <v>169</v>
      </c>
      <c r="D134" s="11" t="s">
        <v>556</v>
      </c>
      <c r="E134" s="11" t="s">
        <v>692</v>
      </c>
      <c r="F134" s="44" t="s">
        <v>341</v>
      </c>
      <c r="G134" s="50">
        <v>3</v>
      </c>
      <c r="H134" s="12">
        <v>2</v>
      </c>
      <c r="I134" s="12">
        <v>1</v>
      </c>
      <c r="J134" s="12">
        <v>2</v>
      </c>
      <c r="K134" s="12">
        <v>1</v>
      </c>
      <c r="L134" s="12"/>
      <c r="M134" s="12">
        <v>1</v>
      </c>
      <c r="N134" s="12"/>
      <c r="O134" s="12">
        <v>2</v>
      </c>
      <c r="P134" s="12">
        <v>5</v>
      </c>
      <c r="Q134" s="12">
        <v>3</v>
      </c>
      <c r="R134" s="12">
        <v>1</v>
      </c>
      <c r="S134" s="12">
        <v>2</v>
      </c>
      <c r="T134" s="12"/>
      <c r="U134" s="12">
        <v>5</v>
      </c>
      <c r="V134" s="12">
        <v>5</v>
      </c>
      <c r="W134" s="12">
        <v>10</v>
      </c>
      <c r="X134" s="12">
        <v>2</v>
      </c>
      <c r="Y134" s="12"/>
      <c r="Z134" s="12"/>
      <c r="AA134" s="12"/>
      <c r="AB134" s="12"/>
      <c r="AC134" s="6">
        <v>1</v>
      </c>
      <c r="AD134" s="6"/>
      <c r="AE134" s="12"/>
      <c r="AF134" s="12"/>
      <c r="AG134" s="6"/>
      <c r="AH134" s="6">
        <v>3</v>
      </c>
      <c r="AI134" s="6"/>
      <c r="AJ134" s="6"/>
      <c r="AK134" s="6"/>
      <c r="AL134" s="6"/>
      <c r="AM134" s="6"/>
      <c r="AN134" s="6"/>
      <c r="AO134" s="6"/>
      <c r="AP134" s="43"/>
      <c r="AQ134" s="43"/>
      <c r="AR134" s="60"/>
      <c r="AS134" s="60"/>
      <c r="AT134" s="49">
        <f t="shared" si="2"/>
        <v>49</v>
      </c>
    </row>
    <row r="135" spans="1:46" x14ac:dyDescent="0.15">
      <c r="A135" s="24" t="s">
        <v>57</v>
      </c>
      <c r="B135" s="2" t="s">
        <v>423</v>
      </c>
      <c r="C135" s="2" t="s">
        <v>170</v>
      </c>
      <c r="D135" s="2" t="s">
        <v>561</v>
      </c>
      <c r="E135" s="2" t="s">
        <v>754</v>
      </c>
      <c r="F135" s="43"/>
      <c r="G135" s="3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>
        <v>12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43"/>
      <c r="AQ135" s="43"/>
      <c r="AR135" s="60"/>
      <c r="AS135" s="60"/>
      <c r="AT135" s="49">
        <f t="shared" si="2"/>
        <v>12</v>
      </c>
    </row>
    <row r="136" spans="1:46" x14ac:dyDescent="0.15">
      <c r="A136" s="23" t="s">
        <v>121</v>
      </c>
      <c r="B136" s="11" t="s">
        <v>519</v>
      </c>
      <c r="C136" s="11" t="s">
        <v>120</v>
      </c>
      <c r="D136" s="11" t="s">
        <v>594</v>
      </c>
      <c r="E136" s="11" t="s">
        <v>693</v>
      </c>
      <c r="F136" s="44" t="s">
        <v>340</v>
      </c>
      <c r="G136" s="50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6"/>
      <c r="AD136" s="6"/>
      <c r="AE136" s="12"/>
      <c r="AF136" s="12">
        <v>10</v>
      </c>
      <c r="AG136" s="6"/>
      <c r="AH136" s="6">
        <v>3</v>
      </c>
      <c r="AI136" s="6"/>
      <c r="AJ136" s="6"/>
      <c r="AK136" s="6"/>
      <c r="AL136" s="6"/>
      <c r="AM136" s="6"/>
      <c r="AN136" s="6"/>
      <c r="AO136" s="6"/>
      <c r="AP136" s="43"/>
      <c r="AQ136" s="43"/>
      <c r="AR136" s="60"/>
      <c r="AS136" s="60"/>
      <c r="AT136" s="49">
        <f t="shared" si="2"/>
        <v>13</v>
      </c>
    </row>
    <row r="137" spans="1:46" x14ac:dyDescent="0.15">
      <c r="A137" s="27" t="s">
        <v>119</v>
      </c>
      <c r="B137" s="11" t="s">
        <v>424</v>
      </c>
      <c r="C137" s="11" t="s">
        <v>195</v>
      </c>
      <c r="D137" s="11" t="s">
        <v>593</v>
      </c>
      <c r="E137" s="11" t="s">
        <v>633</v>
      </c>
      <c r="F137" s="44" t="s">
        <v>340</v>
      </c>
      <c r="G137" s="50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6"/>
      <c r="AD137" s="6"/>
      <c r="AE137" s="12"/>
      <c r="AF137" s="12">
        <v>10</v>
      </c>
      <c r="AG137" s="6"/>
      <c r="AH137" s="6"/>
      <c r="AI137" s="6"/>
      <c r="AJ137" s="6"/>
      <c r="AK137" s="6"/>
      <c r="AL137" s="6"/>
      <c r="AM137" s="6"/>
      <c r="AN137" s="6"/>
      <c r="AO137" s="6"/>
      <c r="AP137" s="43"/>
      <c r="AQ137" s="43"/>
      <c r="AR137" s="60"/>
      <c r="AS137" s="60"/>
      <c r="AT137" s="49">
        <f t="shared" si="2"/>
        <v>10</v>
      </c>
    </row>
    <row r="138" spans="1:46" x14ac:dyDescent="0.15">
      <c r="A138" s="25" t="s">
        <v>306</v>
      </c>
      <c r="B138" s="2" t="s">
        <v>547</v>
      </c>
      <c r="C138" s="2" t="s">
        <v>326</v>
      </c>
      <c r="D138" s="2" t="s">
        <v>554</v>
      </c>
      <c r="E138" s="2" t="s">
        <v>633</v>
      </c>
      <c r="F138" s="43"/>
      <c r="G138" s="3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>
        <v>10</v>
      </c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43"/>
      <c r="AQ138" s="43"/>
      <c r="AR138" s="60"/>
      <c r="AS138" s="60"/>
      <c r="AT138" s="49">
        <f t="shared" si="2"/>
        <v>10</v>
      </c>
    </row>
    <row r="139" spans="1:46" x14ac:dyDescent="0.15">
      <c r="A139" s="25" t="s">
        <v>821</v>
      </c>
      <c r="B139" s="2" t="s">
        <v>822</v>
      </c>
      <c r="C139" s="2" t="s">
        <v>823</v>
      </c>
      <c r="D139" s="2" t="s">
        <v>873</v>
      </c>
      <c r="E139" s="2" t="s">
        <v>824</v>
      </c>
      <c r="F139" s="43"/>
      <c r="G139" s="3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>
        <v>4</v>
      </c>
      <c r="AK139" s="6"/>
      <c r="AL139" s="6"/>
      <c r="AM139" s="6"/>
      <c r="AN139" s="6"/>
      <c r="AO139" s="6"/>
      <c r="AP139" s="43"/>
      <c r="AQ139" s="43"/>
      <c r="AR139" s="60"/>
      <c r="AS139" s="60"/>
      <c r="AT139" s="49">
        <f t="shared" si="2"/>
        <v>4</v>
      </c>
    </row>
    <row r="140" spans="1:46" x14ac:dyDescent="0.15">
      <c r="A140" s="25" t="s">
        <v>1175</v>
      </c>
      <c r="B140" s="2"/>
      <c r="C140" s="2" t="s">
        <v>1176</v>
      </c>
      <c r="D140" s="2"/>
      <c r="E140" s="2" t="s">
        <v>1177</v>
      </c>
      <c r="F140" s="43"/>
      <c r="G140" s="3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>
        <v>5</v>
      </c>
      <c r="AK140" s="6"/>
      <c r="AL140" s="6"/>
      <c r="AM140" s="6"/>
      <c r="AN140" s="6"/>
      <c r="AO140" s="6"/>
      <c r="AP140" s="43"/>
      <c r="AQ140" s="43"/>
      <c r="AR140" s="60"/>
      <c r="AS140" s="60"/>
      <c r="AT140" s="49">
        <f t="shared" si="2"/>
        <v>5</v>
      </c>
    </row>
    <row r="141" spans="1:46" x14ac:dyDescent="0.15">
      <c r="A141" s="25" t="s">
        <v>293</v>
      </c>
      <c r="B141" s="2" t="s">
        <v>520</v>
      </c>
      <c r="C141" s="2" t="s">
        <v>294</v>
      </c>
      <c r="D141" s="2" t="s">
        <v>562</v>
      </c>
      <c r="E141" s="2" t="s">
        <v>694</v>
      </c>
      <c r="F141" s="43"/>
      <c r="G141" s="3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>
        <v>2</v>
      </c>
      <c r="AG141" s="6"/>
      <c r="AH141" s="6">
        <v>6</v>
      </c>
      <c r="AI141" s="6"/>
      <c r="AJ141" s="6"/>
      <c r="AK141" s="6"/>
      <c r="AL141" s="6"/>
      <c r="AM141" s="6"/>
      <c r="AN141" s="6"/>
      <c r="AO141" s="6"/>
      <c r="AP141" s="43"/>
      <c r="AQ141" s="43"/>
      <c r="AR141" s="60"/>
      <c r="AS141" s="60"/>
      <c r="AT141" s="49">
        <f t="shared" si="2"/>
        <v>8</v>
      </c>
    </row>
    <row r="142" spans="1:46" x14ac:dyDescent="0.15">
      <c r="A142" s="25" t="s">
        <v>1247</v>
      </c>
      <c r="B142" s="2"/>
      <c r="C142" s="2" t="s">
        <v>1245</v>
      </c>
      <c r="D142" s="2"/>
      <c r="E142" s="71" t="s">
        <v>1248</v>
      </c>
      <c r="F142" s="43"/>
      <c r="G142" s="3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>
        <v>30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43"/>
      <c r="AQ142" s="43"/>
      <c r="AR142" s="60"/>
      <c r="AS142" s="60"/>
      <c r="AT142" s="49">
        <f t="shared" si="2"/>
        <v>30</v>
      </c>
    </row>
    <row r="143" spans="1:46" x14ac:dyDescent="0.15">
      <c r="A143" s="24" t="s">
        <v>29</v>
      </c>
      <c r="B143" s="2" t="s">
        <v>427</v>
      </c>
      <c r="C143" s="2" t="s">
        <v>171</v>
      </c>
      <c r="D143" s="2" t="s">
        <v>556</v>
      </c>
      <c r="E143" s="2" t="s">
        <v>696</v>
      </c>
      <c r="F143" s="43"/>
      <c r="G143" s="32">
        <v>4</v>
      </c>
      <c r="H143" s="6">
        <v>2</v>
      </c>
      <c r="I143" s="6">
        <v>5</v>
      </c>
      <c r="J143" s="6">
        <v>5</v>
      </c>
      <c r="K143" s="6">
        <v>5</v>
      </c>
      <c r="L143" s="6">
        <v>4</v>
      </c>
      <c r="M143" s="6">
        <v>3</v>
      </c>
      <c r="N143" s="6"/>
      <c r="O143" s="6">
        <v>2</v>
      </c>
      <c r="P143" s="6">
        <v>3</v>
      </c>
      <c r="Q143" s="6">
        <v>2</v>
      </c>
      <c r="R143" s="6">
        <v>3</v>
      </c>
      <c r="S143" s="6">
        <v>5</v>
      </c>
      <c r="T143" s="6"/>
      <c r="U143" s="6">
        <v>5</v>
      </c>
      <c r="V143" s="6">
        <v>3</v>
      </c>
      <c r="W143" s="6">
        <v>10</v>
      </c>
      <c r="X143" s="6">
        <v>1</v>
      </c>
      <c r="Y143" s="6"/>
      <c r="Z143" s="6"/>
      <c r="AA143" s="38">
        <v>10</v>
      </c>
      <c r="AB143" s="38"/>
      <c r="AC143" s="6">
        <v>2</v>
      </c>
      <c r="AD143" s="6">
        <v>2</v>
      </c>
      <c r="AE143" s="6"/>
      <c r="AF143" s="6"/>
      <c r="AG143" s="6"/>
      <c r="AH143" s="6">
        <v>5</v>
      </c>
      <c r="AI143" s="6"/>
      <c r="AJ143" s="6"/>
      <c r="AK143" s="6"/>
      <c r="AL143" s="6"/>
      <c r="AM143" s="6"/>
      <c r="AN143" s="6"/>
      <c r="AO143" s="6"/>
      <c r="AP143" s="43">
        <v>2</v>
      </c>
      <c r="AQ143" s="43"/>
      <c r="AR143" s="60"/>
      <c r="AS143" s="60"/>
      <c r="AT143" s="49">
        <f t="shared" si="2"/>
        <v>83</v>
      </c>
    </row>
    <row r="144" spans="1:46" x14ac:dyDescent="0.15">
      <c r="A144" s="24" t="s">
        <v>52</v>
      </c>
      <c r="B144" s="2" t="s">
        <v>428</v>
      </c>
      <c r="C144" s="2" t="s">
        <v>197</v>
      </c>
      <c r="D144" s="2" t="s">
        <v>556</v>
      </c>
      <c r="E144" s="2" t="s">
        <v>633</v>
      </c>
      <c r="F144" s="43"/>
      <c r="G144" s="3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>
        <v>3</v>
      </c>
      <c r="V144" s="6">
        <v>2</v>
      </c>
      <c r="W144" s="6"/>
      <c r="X144" s="6">
        <v>3</v>
      </c>
      <c r="Y144" s="6"/>
      <c r="Z144" s="6"/>
      <c r="AA144" s="38">
        <v>2</v>
      </c>
      <c r="AB144" s="38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43"/>
      <c r="AQ144" s="43"/>
      <c r="AR144" s="60"/>
      <c r="AS144" s="60"/>
      <c r="AT144" s="49">
        <f t="shared" si="2"/>
        <v>10</v>
      </c>
    </row>
    <row r="145" spans="1:46" x14ac:dyDescent="0.15">
      <c r="A145" s="28" t="s">
        <v>368</v>
      </c>
      <c r="B145" s="9" t="s">
        <v>548</v>
      </c>
      <c r="C145" s="9" t="s">
        <v>337</v>
      </c>
      <c r="D145" s="2" t="s">
        <v>597</v>
      </c>
      <c r="E145" s="2" t="s">
        <v>755</v>
      </c>
      <c r="F145" s="43"/>
      <c r="G145" s="3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>
        <v>3</v>
      </c>
      <c r="V145" s="6"/>
      <c r="W145" s="6">
        <v>5</v>
      </c>
      <c r="X145" s="6"/>
      <c r="Y145" s="6"/>
      <c r="Z145" s="6"/>
      <c r="AA145" s="38">
        <v>3</v>
      </c>
      <c r="AB145" s="38"/>
      <c r="AC145" s="6"/>
      <c r="AD145" s="6">
        <v>1</v>
      </c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43"/>
      <c r="AQ145" s="43"/>
      <c r="AR145" s="60"/>
      <c r="AS145" s="60"/>
      <c r="AT145" s="49">
        <f t="shared" si="2"/>
        <v>12</v>
      </c>
    </row>
    <row r="146" spans="1:46" x14ac:dyDescent="0.15">
      <c r="A146" s="28" t="s">
        <v>786</v>
      </c>
      <c r="B146" s="9" t="s">
        <v>787</v>
      </c>
      <c r="C146" s="9" t="s">
        <v>788</v>
      </c>
      <c r="D146" s="2" t="s">
        <v>789</v>
      </c>
      <c r="E146" s="2" t="s">
        <v>790</v>
      </c>
      <c r="F146" s="43"/>
      <c r="G146" s="3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>
        <v>40</v>
      </c>
      <c r="X146" s="6"/>
      <c r="Y146" s="6"/>
      <c r="Z146" s="6"/>
      <c r="AA146" s="38"/>
      <c r="AB146" s="38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43"/>
      <c r="AQ146" s="43"/>
      <c r="AR146" s="60"/>
      <c r="AS146" s="60"/>
      <c r="AT146" s="49">
        <f t="shared" si="2"/>
        <v>40</v>
      </c>
    </row>
    <row r="147" spans="1:46" x14ac:dyDescent="0.15">
      <c r="A147" s="24" t="s">
        <v>125</v>
      </c>
      <c r="B147" s="8" t="s">
        <v>522</v>
      </c>
      <c r="C147" s="8" t="s">
        <v>122</v>
      </c>
      <c r="D147" s="2" t="s">
        <v>573</v>
      </c>
      <c r="E147" s="2" t="s">
        <v>697</v>
      </c>
      <c r="F147" s="43"/>
      <c r="G147" s="3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38"/>
      <c r="AB147" s="38"/>
      <c r="AC147" s="6"/>
      <c r="AD147" s="6"/>
      <c r="AE147" s="6"/>
      <c r="AF147" s="6"/>
      <c r="AG147" s="6"/>
      <c r="AH147" s="6">
        <v>5</v>
      </c>
      <c r="AI147" s="6"/>
      <c r="AJ147" s="6"/>
      <c r="AK147" s="6"/>
      <c r="AL147" s="6"/>
      <c r="AM147" s="6"/>
      <c r="AN147" s="6"/>
      <c r="AO147" s="6"/>
      <c r="AP147" s="43"/>
      <c r="AQ147" s="43"/>
      <c r="AR147" s="60"/>
      <c r="AS147" s="60"/>
      <c r="AT147" s="49">
        <f t="shared" si="2"/>
        <v>5</v>
      </c>
    </row>
    <row r="148" spans="1:46" x14ac:dyDescent="0.15">
      <c r="A148" s="25" t="s">
        <v>95</v>
      </c>
      <c r="B148" s="2" t="s">
        <v>429</v>
      </c>
      <c r="C148" s="2" t="s">
        <v>198</v>
      </c>
      <c r="D148" s="2" t="s">
        <v>554</v>
      </c>
      <c r="E148" s="2" t="s">
        <v>648</v>
      </c>
      <c r="F148" s="43"/>
      <c r="G148" s="32"/>
      <c r="H148" s="6"/>
      <c r="I148" s="6">
        <v>2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38">
        <v>2</v>
      </c>
      <c r="AB148" s="38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43"/>
      <c r="AQ148" s="43"/>
      <c r="AR148" s="60"/>
      <c r="AS148" s="60"/>
      <c r="AT148" s="49">
        <f t="shared" si="2"/>
        <v>4</v>
      </c>
    </row>
    <row r="149" spans="1:46" x14ac:dyDescent="0.15">
      <c r="A149" s="23" t="s">
        <v>26</v>
      </c>
      <c r="B149" s="11" t="s">
        <v>430</v>
      </c>
      <c r="C149" s="11" t="s">
        <v>199</v>
      </c>
      <c r="D149" s="11" t="s">
        <v>599</v>
      </c>
      <c r="E149" s="11" t="s">
        <v>648</v>
      </c>
      <c r="F149" s="44" t="s">
        <v>341</v>
      </c>
      <c r="G149" s="50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6"/>
      <c r="AD149" s="6"/>
      <c r="AE149" s="12"/>
      <c r="AF149" s="12"/>
      <c r="AG149" s="6"/>
      <c r="AH149" s="6"/>
      <c r="AI149" s="6"/>
      <c r="AJ149" s="6"/>
      <c r="AK149" s="6"/>
      <c r="AL149" s="6"/>
      <c r="AM149" s="6"/>
      <c r="AN149" s="6"/>
      <c r="AO149" s="6"/>
      <c r="AP149" s="43"/>
      <c r="AQ149" s="43"/>
      <c r="AR149" s="60"/>
      <c r="AS149" s="60"/>
      <c r="AT149" s="49">
        <f t="shared" si="2"/>
        <v>0</v>
      </c>
    </row>
    <row r="150" spans="1:46" x14ac:dyDescent="0.15">
      <c r="A150" s="24" t="s">
        <v>345</v>
      </c>
      <c r="B150" s="2" t="s">
        <v>431</v>
      </c>
      <c r="C150" s="2" t="s">
        <v>1181</v>
      </c>
      <c r="D150" s="2" t="s">
        <v>562</v>
      </c>
      <c r="E150" s="2" t="s">
        <v>634</v>
      </c>
      <c r="F150" s="43"/>
      <c r="G150" s="3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38"/>
      <c r="AB150" s="38"/>
      <c r="AC150" s="6"/>
      <c r="AD150" s="6">
        <v>2</v>
      </c>
      <c r="AE150" s="6"/>
      <c r="AF150" s="6"/>
      <c r="AG150" s="6"/>
      <c r="AH150" s="6">
        <v>3</v>
      </c>
      <c r="AI150" s="6"/>
      <c r="AJ150" s="6"/>
      <c r="AK150" s="6"/>
      <c r="AL150" s="6"/>
      <c r="AM150" s="6"/>
      <c r="AN150" s="6"/>
      <c r="AO150" s="6"/>
      <c r="AP150" s="43"/>
      <c r="AQ150" s="43"/>
      <c r="AR150" s="60"/>
      <c r="AS150" s="60"/>
      <c r="AT150" s="49">
        <f t="shared" si="2"/>
        <v>5</v>
      </c>
    </row>
    <row r="151" spans="1:46" x14ac:dyDescent="0.15">
      <c r="A151" s="24" t="s">
        <v>346</v>
      </c>
      <c r="B151" s="2" t="s">
        <v>432</v>
      </c>
      <c r="C151" s="2" t="s">
        <v>1182</v>
      </c>
      <c r="D151" s="2" t="s">
        <v>562</v>
      </c>
      <c r="E151" s="2" t="s">
        <v>634</v>
      </c>
      <c r="F151" s="43"/>
      <c r="G151" s="3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38"/>
      <c r="AB151" s="38"/>
      <c r="AC151" s="6"/>
      <c r="AD151" s="6">
        <v>5</v>
      </c>
      <c r="AE151" s="6"/>
      <c r="AF151" s="6"/>
      <c r="AG151" s="6"/>
      <c r="AH151" s="6">
        <v>3</v>
      </c>
      <c r="AI151" s="6"/>
      <c r="AJ151" s="6"/>
      <c r="AK151" s="6"/>
      <c r="AL151" s="6"/>
      <c r="AM151" s="6"/>
      <c r="AN151" s="6"/>
      <c r="AO151" s="6"/>
      <c r="AP151" s="43"/>
      <c r="AQ151" s="43"/>
      <c r="AR151" s="60"/>
      <c r="AS151" s="60"/>
      <c r="AT151" s="49">
        <f t="shared" si="2"/>
        <v>8</v>
      </c>
    </row>
    <row r="152" spans="1:46" x14ac:dyDescent="0.15">
      <c r="A152" s="24" t="s">
        <v>347</v>
      </c>
      <c r="B152" s="2" t="s">
        <v>433</v>
      </c>
      <c r="C152" s="2" t="s">
        <v>1183</v>
      </c>
      <c r="D152" s="2" t="s">
        <v>562</v>
      </c>
      <c r="E152" s="2" t="s">
        <v>634</v>
      </c>
      <c r="F152" s="43"/>
      <c r="G152" s="3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38"/>
      <c r="AB152" s="38"/>
      <c r="AC152" s="6"/>
      <c r="AD152" s="6"/>
      <c r="AE152" s="6"/>
      <c r="AF152" s="6"/>
      <c r="AG152" s="6"/>
      <c r="AH152" s="6">
        <v>3</v>
      </c>
      <c r="AI152" s="6"/>
      <c r="AJ152" s="6"/>
      <c r="AK152" s="6"/>
      <c r="AL152" s="6"/>
      <c r="AM152" s="6"/>
      <c r="AN152" s="6"/>
      <c r="AO152" s="6"/>
      <c r="AP152" s="43"/>
      <c r="AQ152" s="43"/>
      <c r="AR152" s="60"/>
      <c r="AS152" s="60"/>
      <c r="AT152" s="49">
        <f t="shared" si="2"/>
        <v>3</v>
      </c>
    </row>
    <row r="153" spans="1:46" x14ac:dyDescent="0.15">
      <c r="A153" s="24" t="s">
        <v>348</v>
      </c>
      <c r="B153" s="2" t="s">
        <v>434</v>
      </c>
      <c r="C153" s="2" t="s">
        <v>1184</v>
      </c>
      <c r="D153" s="2" t="s">
        <v>562</v>
      </c>
      <c r="E153" s="2" t="s">
        <v>634</v>
      </c>
      <c r="F153" s="43"/>
      <c r="G153" s="3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38"/>
      <c r="AB153" s="38"/>
      <c r="AC153" s="6"/>
      <c r="AD153" s="6">
        <v>2</v>
      </c>
      <c r="AE153" s="6"/>
      <c r="AF153" s="6"/>
      <c r="AG153" s="6"/>
      <c r="AH153" s="6">
        <v>3</v>
      </c>
      <c r="AI153" s="6"/>
      <c r="AJ153" s="6"/>
      <c r="AK153" s="6"/>
      <c r="AL153" s="6"/>
      <c r="AM153" s="6"/>
      <c r="AN153" s="6"/>
      <c r="AO153" s="6"/>
      <c r="AP153" s="43"/>
      <c r="AQ153" s="43"/>
      <c r="AR153" s="60"/>
      <c r="AS153" s="60"/>
      <c r="AT153" s="49">
        <f t="shared" si="2"/>
        <v>5</v>
      </c>
    </row>
    <row r="154" spans="1:46" x14ac:dyDescent="0.15">
      <c r="A154" s="24" t="s">
        <v>1291</v>
      </c>
      <c r="B154" s="2"/>
      <c r="C154" s="2" t="s">
        <v>1292</v>
      </c>
      <c r="D154" s="2"/>
      <c r="E154" s="2" t="s">
        <v>634</v>
      </c>
      <c r="F154" s="43"/>
      <c r="G154" s="3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38"/>
      <c r="AB154" s="38"/>
      <c r="AC154" s="6"/>
      <c r="AD154" s="6">
        <v>3</v>
      </c>
      <c r="AE154" s="6"/>
      <c r="AF154" s="6"/>
      <c r="AG154" s="6"/>
      <c r="AH154" s="6">
        <v>3</v>
      </c>
      <c r="AI154" s="6"/>
      <c r="AJ154" s="6"/>
      <c r="AK154" s="6"/>
      <c r="AL154" s="6"/>
      <c r="AM154" s="6"/>
      <c r="AN154" s="6"/>
      <c r="AO154" s="6"/>
      <c r="AP154" s="43"/>
      <c r="AQ154" s="43"/>
      <c r="AR154" s="60"/>
      <c r="AS154" s="60"/>
      <c r="AT154" s="49">
        <f t="shared" si="2"/>
        <v>6</v>
      </c>
    </row>
    <row r="155" spans="1:46" x14ac:dyDescent="0.15">
      <c r="A155" s="24" t="s">
        <v>40</v>
      </c>
      <c r="B155" s="2" t="s">
        <v>435</v>
      </c>
      <c r="C155" s="2" t="s">
        <v>2</v>
      </c>
      <c r="D155" s="2" t="s">
        <v>600</v>
      </c>
      <c r="E155" s="2" t="s">
        <v>698</v>
      </c>
      <c r="F155" s="43"/>
      <c r="G155" s="3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>
        <v>5</v>
      </c>
      <c r="Z155" s="6"/>
      <c r="AA155" s="38"/>
      <c r="AB155" s="38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43"/>
      <c r="AQ155" s="43"/>
      <c r="AR155" s="60"/>
      <c r="AS155" s="60"/>
      <c r="AT155" s="49">
        <f t="shared" si="2"/>
        <v>5</v>
      </c>
    </row>
    <row r="156" spans="1:46" x14ac:dyDescent="0.15">
      <c r="A156" s="24" t="s">
        <v>7</v>
      </c>
      <c r="B156" s="2" t="s">
        <v>436</v>
      </c>
      <c r="C156" s="2" t="s">
        <v>152</v>
      </c>
      <c r="D156" s="2" t="s">
        <v>601</v>
      </c>
      <c r="E156" s="2" t="s">
        <v>756</v>
      </c>
      <c r="F156" s="43"/>
      <c r="G156" s="3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>
        <v>1</v>
      </c>
      <c r="Y156" s="6"/>
      <c r="Z156" s="6"/>
      <c r="AA156" s="38"/>
      <c r="AB156" s="38"/>
      <c r="AC156" s="6"/>
      <c r="AD156" s="6"/>
      <c r="AE156" s="6"/>
      <c r="AF156" s="6"/>
      <c r="AG156" s="6"/>
      <c r="AH156" s="6"/>
      <c r="AI156" s="6"/>
      <c r="AJ156" s="6"/>
      <c r="AK156" s="6"/>
      <c r="AL156" s="6">
        <v>10</v>
      </c>
      <c r="AM156" s="6"/>
      <c r="AN156" s="6"/>
      <c r="AO156" s="6"/>
      <c r="AP156" s="43"/>
      <c r="AQ156" s="43"/>
      <c r="AR156" s="60"/>
      <c r="AS156" s="60"/>
      <c r="AT156" s="49">
        <f t="shared" si="2"/>
        <v>11</v>
      </c>
    </row>
    <row r="157" spans="1:46" x14ac:dyDescent="0.15">
      <c r="A157" s="25" t="s">
        <v>289</v>
      </c>
      <c r="B157" s="2" t="s">
        <v>523</v>
      </c>
      <c r="C157" s="2" t="s">
        <v>290</v>
      </c>
      <c r="D157" s="2" t="s">
        <v>598</v>
      </c>
      <c r="E157" s="2" t="s">
        <v>699</v>
      </c>
      <c r="F157" s="43"/>
      <c r="G157" s="3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38"/>
      <c r="AB157" s="38"/>
      <c r="AC157" s="6"/>
      <c r="AD157" s="6"/>
      <c r="AE157" s="6"/>
      <c r="AF157" s="6">
        <v>2</v>
      </c>
      <c r="AG157" s="6"/>
      <c r="AH157" s="6">
        <v>2</v>
      </c>
      <c r="AI157" s="6"/>
      <c r="AJ157" s="6"/>
      <c r="AK157" s="6"/>
      <c r="AL157" s="6"/>
      <c r="AM157" s="6"/>
      <c r="AN157" s="6"/>
      <c r="AO157" s="6"/>
      <c r="AP157" s="43"/>
      <c r="AQ157" s="43"/>
      <c r="AR157" s="60"/>
      <c r="AS157" s="60"/>
      <c r="AT157" s="49">
        <f t="shared" si="2"/>
        <v>4</v>
      </c>
    </row>
    <row r="158" spans="1:46" x14ac:dyDescent="0.15">
      <c r="A158" s="25" t="s">
        <v>23</v>
      </c>
      <c r="B158" s="8" t="s">
        <v>437</v>
      </c>
      <c r="C158" s="8" t="s">
        <v>172</v>
      </c>
      <c r="D158" s="2" t="s">
        <v>556</v>
      </c>
      <c r="E158" s="2" t="s">
        <v>648</v>
      </c>
      <c r="F158" s="43"/>
      <c r="G158" s="3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>
        <v>2</v>
      </c>
      <c r="T158" s="6"/>
      <c r="U158" s="6"/>
      <c r="V158" s="6"/>
      <c r="W158" s="6">
        <v>100</v>
      </c>
      <c r="X158" s="6"/>
      <c r="Y158" s="6"/>
      <c r="Z158" s="6"/>
      <c r="AA158" s="38"/>
      <c r="AB158" s="38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43"/>
      <c r="AQ158" s="43"/>
      <c r="AR158" s="60"/>
      <c r="AS158" s="60"/>
      <c r="AT158" s="49">
        <f t="shared" si="2"/>
        <v>102</v>
      </c>
    </row>
    <row r="159" spans="1:46" x14ac:dyDescent="0.15">
      <c r="A159" s="25" t="s">
        <v>1203</v>
      </c>
      <c r="B159" s="8"/>
      <c r="C159" s="8" t="s">
        <v>1204</v>
      </c>
      <c r="D159" s="2"/>
      <c r="E159" s="71" t="s">
        <v>655</v>
      </c>
      <c r="F159" s="43"/>
      <c r="G159" s="3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38"/>
      <c r="AB159" s="38"/>
      <c r="AC159" s="6"/>
      <c r="AD159" s="6"/>
      <c r="AE159" s="6"/>
      <c r="AF159" s="6"/>
      <c r="AG159" s="6"/>
      <c r="AH159" s="6">
        <v>1</v>
      </c>
      <c r="AI159" s="6"/>
      <c r="AJ159" s="6"/>
      <c r="AK159" s="6"/>
      <c r="AL159" s="6"/>
      <c r="AM159" s="6"/>
      <c r="AN159" s="6"/>
      <c r="AO159" s="6"/>
      <c r="AP159" s="43"/>
      <c r="AQ159" s="43"/>
      <c r="AR159" s="60"/>
      <c r="AS159" s="60"/>
      <c r="AT159" s="49">
        <f t="shared" si="2"/>
        <v>1</v>
      </c>
    </row>
    <row r="160" spans="1:46" x14ac:dyDescent="0.15">
      <c r="A160" s="25" t="s">
        <v>986</v>
      </c>
      <c r="B160" s="8" t="s">
        <v>930</v>
      </c>
      <c r="C160" s="8" t="s">
        <v>1311</v>
      </c>
      <c r="D160" s="2" t="s">
        <v>789</v>
      </c>
      <c r="E160" s="2" t="s">
        <v>991</v>
      </c>
      <c r="F160" s="43"/>
      <c r="G160" s="3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38"/>
      <c r="AB160" s="38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43"/>
      <c r="AQ160" s="43"/>
      <c r="AR160" s="60"/>
      <c r="AS160" s="60"/>
      <c r="AT160" s="49">
        <f t="shared" si="2"/>
        <v>0</v>
      </c>
    </row>
    <row r="161" spans="1:46" s="79" customFormat="1" x14ac:dyDescent="0.15">
      <c r="A161" s="23" t="s">
        <v>555</v>
      </c>
      <c r="B161" s="11" t="s">
        <v>549</v>
      </c>
      <c r="C161" s="11" t="s">
        <v>132</v>
      </c>
      <c r="D161" s="11" t="s">
        <v>554</v>
      </c>
      <c r="E161" s="11" t="s">
        <v>700</v>
      </c>
      <c r="F161" s="44" t="s">
        <v>997</v>
      </c>
      <c r="G161" s="50"/>
      <c r="H161" s="12"/>
      <c r="I161" s="12"/>
      <c r="J161" s="12">
        <v>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6"/>
      <c r="AD161" s="6"/>
      <c r="AE161" s="12"/>
      <c r="AF161" s="12">
        <v>1</v>
      </c>
      <c r="AG161" s="6"/>
      <c r="AH161" s="6"/>
      <c r="AI161" s="6"/>
      <c r="AJ161" s="6"/>
      <c r="AK161" s="6"/>
      <c r="AL161" s="6"/>
      <c r="AM161" s="6"/>
      <c r="AN161" s="6"/>
      <c r="AO161" s="6"/>
      <c r="AP161" s="43"/>
      <c r="AQ161" s="43"/>
      <c r="AR161" s="60"/>
      <c r="AS161" s="60"/>
      <c r="AT161" s="49">
        <f t="shared" si="2"/>
        <v>2</v>
      </c>
    </row>
    <row r="162" spans="1:46" x14ac:dyDescent="0.15">
      <c r="A162" s="24" t="s">
        <v>916</v>
      </c>
      <c r="B162" s="2" t="s">
        <v>917</v>
      </c>
      <c r="C162" s="2" t="s">
        <v>915</v>
      </c>
      <c r="D162" s="2" t="s">
        <v>918</v>
      </c>
      <c r="E162" s="2" t="s">
        <v>691</v>
      </c>
      <c r="F162" s="43"/>
      <c r="G162" s="3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38">
        <v>4</v>
      </c>
      <c r="AB162" s="38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43"/>
      <c r="AQ162" s="43"/>
      <c r="AR162" s="60"/>
      <c r="AS162" s="60"/>
      <c r="AT162" s="49">
        <f t="shared" si="2"/>
        <v>4</v>
      </c>
    </row>
    <row r="163" spans="1:46" x14ac:dyDescent="0.15">
      <c r="A163" s="24" t="s">
        <v>1094</v>
      </c>
      <c r="B163" s="2" t="s">
        <v>521</v>
      </c>
      <c r="C163" s="2" t="s">
        <v>922</v>
      </c>
      <c r="D163" s="2" t="s">
        <v>596</v>
      </c>
      <c r="E163" s="2" t="s">
        <v>695</v>
      </c>
      <c r="F163" s="43"/>
      <c r="G163" s="3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38"/>
      <c r="AB163" s="38"/>
      <c r="AC163" s="6"/>
      <c r="AD163" s="6"/>
      <c r="AE163" s="6"/>
      <c r="AF163" s="6"/>
      <c r="AG163" s="6"/>
      <c r="AH163" s="6">
        <v>10</v>
      </c>
      <c r="AI163" s="6"/>
      <c r="AJ163" s="6"/>
      <c r="AK163" s="6"/>
      <c r="AL163" s="6"/>
      <c r="AM163" s="6"/>
      <c r="AN163" s="6"/>
      <c r="AO163" s="6"/>
      <c r="AP163" s="43"/>
      <c r="AQ163" s="43"/>
      <c r="AR163" s="60"/>
      <c r="AS163" s="60"/>
      <c r="AT163" s="49">
        <f t="shared" si="2"/>
        <v>10</v>
      </c>
    </row>
    <row r="164" spans="1:46" x14ac:dyDescent="0.15">
      <c r="A164" s="24" t="s">
        <v>70</v>
      </c>
      <c r="B164" s="2" t="s">
        <v>438</v>
      </c>
      <c r="C164" s="2" t="s">
        <v>150</v>
      </c>
      <c r="D164" s="2" t="s">
        <v>602</v>
      </c>
      <c r="E164" s="2" t="s">
        <v>701</v>
      </c>
      <c r="F164" s="43"/>
      <c r="G164" s="3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>
        <v>1</v>
      </c>
      <c r="S164" s="6"/>
      <c r="T164" s="6"/>
      <c r="U164" s="6"/>
      <c r="V164" s="6"/>
      <c r="W164" s="6"/>
      <c r="X164" s="6"/>
      <c r="Y164" s="6"/>
      <c r="Z164" s="6"/>
      <c r="AA164" s="38"/>
      <c r="AB164" s="38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43"/>
      <c r="AQ164" s="43"/>
      <c r="AR164" s="60"/>
      <c r="AS164" s="60"/>
      <c r="AT164" s="49">
        <f t="shared" si="2"/>
        <v>1</v>
      </c>
    </row>
    <row r="165" spans="1:46" x14ac:dyDescent="0.15">
      <c r="A165" s="24" t="s">
        <v>1169</v>
      </c>
      <c r="B165" s="2"/>
      <c r="C165" s="2" t="s">
        <v>1170</v>
      </c>
      <c r="D165" s="2"/>
      <c r="E165" s="2" t="s">
        <v>1173</v>
      </c>
      <c r="F165" s="43"/>
      <c r="G165" s="3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38"/>
      <c r="AB165" s="38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43"/>
      <c r="AQ165" s="43"/>
      <c r="AR165" s="60">
        <v>6</v>
      </c>
      <c r="AS165" s="60"/>
      <c r="AT165" s="49">
        <f t="shared" si="2"/>
        <v>6</v>
      </c>
    </row>
    <row r="166" spans="1:46" x14ac:dyDescent="0.15">
      <c r="A166" s="24" t="s">
        <v>1171</v>
      </c>
      <c r="B166" s="2"/>
      <c r="C166" s="2" t="s">
        <v>1172</v>
      </c>
      <c r="D166" s="2"/>
      <c r="E166" s="2" t="s">
        <v>1174</v>
      </c>
      <c r="F166" s="43"/>
      <c r="G166" s="3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38"/>
      <c r="AB166" s="38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43"/>
      <c r="AQ166" s="43"/>
      <c r="AR166" s="60">
        <v>3</v>
      </c>
      <c r="AS166" s="60"/>
      <c r="AT166" s="49">
        <f t="shared" si="2"/>
        <v>3</v>
      </c>
    </row>
    <row r="167" spans="1:46" x14ac:dyDescent="0.15">
      <c r="A167" s="24" t="s">
        <v>1359</v>
      </c>
      <c r="B167" s="2"/>
      <c r="C167" s="2" t="s">
        <v>1360</v>
      </c>
      <c r="D167" s="2"/>
      <c r="E167" s="2" t="s">
        <v>1173</v>
      </c>
      <c r="F167" s="43"/>
      <c r="G167" s="3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38"/>
      <c r="AB167" s="38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43"/>
      <c r="AQ167" s="43"/>
      <c r="AR167" s="60">
        <v>1</v>
      </c>
      <c r="AS167" s="60"/>
      <c r="AT167" s="49">
        <f t="shared" si="2"/>
        <v>1</v>
      </c>
    </row>
    <row r="168" spans="1:46" x14ac:dyDescent="0.15">
      <c r="A168" s="24" t="s">
        <v>4</v>
      </c>
      <c r="B168" s="2" t="s">
        <v>439</v>
      </c>
      <c r="C168" s="2" t="s">
        <v>131</v>
      </c>
      <c r="D168" s="2" t="s">
        <v>556</v>
      </c>
      <c r="E168" s="2" t="s">
        <v>655</v>
      </c>
      <c r="F168" s="43"/>
      <c r="G168" s="3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>
        <v>5</v>
      </c>
      <c r="V168" s="6">
        <v>3</v>
      </c>
      <c r="W168" s="6"/>
      <c r="X168" s="6"/>
      <c r="Y168" s="6"/>
      <c r="Z168" s="6"/>
      <c r="AA168" s="38"/>
      <c r="AB168" s="38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43"/>
      <c r="AQ168" s="43"/>
      <c r="AR168" s="60"/>
      <c r="AS168" s="60"/>
      <c r="AT168" s="49">
        <f t="shared" si="2"/>
        <v>8</v>
      </c>
    </row>
    <row r="169" spans="1:46" x14ac:dyDescent="0.15">
      <c r="A169" s="24" t="s">
        <v>1312</v>
      </c>
      <c r="B169" s="2" t="s">
        <v>525</v>
      </c>
      <c r="C169" s="2" t="s">
        <v>1313</v>
      </c>
      <c r="D169" s="2" t="s">
        <v>566</v>
      </c>
      <c r="E169" s="2" t="s">
        <v>655</v>
      </c>
      <c r="F169" s="43"/>
      <c r="G169" s="3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>
        <v>3</v>
      </c>
      <c r="W169" s="6">
        <v>2</v>
      </c>
      <c r="X169" s="6"/>
      <c r="Y169" s="6"/>
      <c r="Z169" s="6"/>
      <c r="AA169" s="38"/>
      <c r="AB169" s="38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43"/>
      <c r="AQ169" s="43"/>
      <c r="AR169" s="60"/>
      <c r="AS169" s="60"/>
      <c r="AT169" s="49">
        <f t="shared" si="2"/>
        <v>5</v>
      </c>
    </row>
    <row r="170" spans="1:46" x14ac:dyDescent="0.15">
      <c r="A170" s="24" t="s">
        <v>1226</v>
      </c>
      <c r="B170" s="2" t="s">
        <v>440</v>
      </c>
      <c r="C170" s="2" t="s">
        <v>968</v>
      </c>
      <c r="D170" s="2" t="s">
        <v>603</v>
      </c>
      <c r="E170" s="71" t="s">
        <v>969</v>
      </c>
      <c r="F170" s="43"/>
      <c r="G170" s="3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>
        <v>2</v>
      </c>
      <c r="Y170" s="6"/>
      <c r="Z170" s="6"/>
      <c r="AA170" s="38"/>
      <c r="AB170" s="38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43"/>
      <c r="AQ170" s="43"/>
      <c r="AR170" s="60"/>
      <c r="AS170" s="60"/>
      <c r="AT170" s="49">
        <f t="shared" si="2"/>
        <v>2</v>
      </c>
    </row>
    <row r="171" spans="1:46" x14ac:dyDescent="0.15">
      <c r="A171" s="23" t="s">
        <v>65</v>
      </c>
      <c r="B171" s="11" t="s">
        <v>441</v>
      </c>
      <c r="C171" s="11" t="s">
        <v>173</v>
      </c>
      <c r="D171" s="11" t="s">
        <v>561</v>
      </c>
      <c r="E171" s="11" t="s">
        <v>702</v>
      </c>
      <c r="F171" s="44" t="s">
        <v>340</v>
      </c>
      <c r="G171" s="50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>
        <v>5</v>
      </c>
      <c r="X171" s="12">
        <v>2</v>
      </c>
      <c r="Y171" s="12"/>
      <c r="Z171" s="12"/>
      <c r="AA171" s="12"/>
      <c r="AB171" s="12"/>
      <c r="AC171" s="6"/>
      <c r="AD171" s="6"/>
      <c r="AE171" s="12"/>
      <c r="AF171" s="12"/>
      <c r="AG171" s="6"/>
      <c r="AH171" s="6"/>
      <c r="AI171" s="6"/>
      <c r="AJ171" s="6"/>
      <c r="AK171" s="6"/>
      <c r="AL171" s="6"/>
      <c r="AM171" s="6"/>
      <c r="AN171" s="6"/>
      <c r="AO171" s="6"/>
      <c r="AP171" s="43">
        <v>2</v>
      </c>
      <c r="AQ171" s="43"/>
      <c r="AR171" s="60"/>
      <c r="AS171" s="60"/>
      <c r="AT171" s="49">
        <f t="shared" si="2"/>
        <v>9</v>
      </c>
    </row>
    <row r="172" spans="1:46" x14ac:dyDescent="0.15">
      <c r="A172" s="24" t="s">
        <v>62</v>
      </c>
      <c r="B172" s="2" t="s">
        <v>442</v>
      </c>
      <c r="C172" s="2" t="s">
        <v>174</v>
      </c>
      <c r="D172" s="2" t="s">
        <v>559</v>
      </c>
      <c r="E172" s="2" t="s">
        <v>703</v>
      </c>
      <c r="F172" s="43"/>
      <c r="G172" s="3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>
        <v>10</v>
      </c>
      <c r="X172" s="6">
        <v>3</v>
      </c>
      <c r="Y172" s="6">
        <v>10</v>
      </c>
      <c r="Z172" s="6"/>
      <c r="AA172" s="38"/>
      <c r="AB172" s="38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43"/>
      <c r="AQ172" s="43"/>
      <c r="AR172" s="60"/>
      <c r="AS172" s="60"/>
      <c r="AT172" s="49">
        <f t="shared" si="2"/>
        <v>23</v>
      </c>
    </row>
    <row r="173" spans="1:46" x14ac:dyDescent="0.15">
      <c r="A173" s="24" t="s">
        <v>71</v>
      </c>
      <c r="B173" s="2" t="s">
        <v>443</v>
      </c>
      <c r="C173" s="2" t="s">
        <v>79</v>
      </c>
      <c r="D173" s="2" t="s">
        <v>604</v>
      </c>
      <c r="E173" s="2" t="s">
        <v>704</v>
      </c>
      <c r="F173" s="43"/>
      <c r="G173" s="3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>
        <v>40</v>
      </c>
      <c r="X173" s="6"/>
      <c r="Y173" s="6"/>
      <c r="Z173" s="6"/>
      <c r="AA173" s="38"/>
      <c r="AB173" s="38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43"/>
      <c r="AQ173" s="43"/>
      <c r="AR173" s="60"/>
      <c r="AS173" s="60"/>
      <c r="AT173" s="49">
        <f t="shared" si="2"/>
        <v>40</v>
      </c>
    </row>
    <row r="174" spans="1:46" x14ac:dyDescent="0.15">
      <c r="A174" s="24" t="s">
        <v>335</v>
      </c>
      <c r="B174" s="2" t="s">
        <v>526</v>
      </c>
      <c r="C174" s="2" t="s">
        <v>282</v>
      </c>
      <c r="D174" s="2" t="s">
        <v>605</v>
      </c>
      <c r="E174" s="2" t="s">
        <v>705</v>
      </c>
      <c r="F174" s="43"/>
      <c r="G174" s="3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38"/>
      <c r="AB174" s="38"/>
      <c r="AC174" s="6"/>
      <c r="AD174" s="6"/>
      <c r="AE174" s="6"/>
      <c r="AF174" s="6"/>
      <c r="AG174" s="6"/>
      <c r="AH174" s="6">
        <v>2</v>
      </c>
      <c r="AI174" s="6"/>
      <c r="AJ174" s="6"/>
      <c r="AK174" s="6"/>
      <c r="AL174" s="6"/>
      <c r="AM174" s="6"/>
      <c r="AN174" s="6"/>
      <c r="AO174" s="6"/>
      <c r="AP174" s="43"/>
      <c r="AQ174" s="43"/>
      <c r="AR174" s="60"/>
      <c r="AS174" s="60"/>
      <c r="AT174" s="49">
        <f t="shared" si="2"/>
        <v>2</v>
      </c>
    </row>
    <row r="175" spans="1:46" x14ac:dyDescent="0.15">
      <c r="A175" s="24" t="s">
        <v>302</v>
      </c>
      <c r="B175" s="2" t="s">
        <v>527</v>
      </c>
      <c r="C175" s="2" t="s">
        <v>303</v>
      </c>
      <c r="D175" s="2" t="s">
        <v>577</v>
      </c>
      <c r="E175" s="2" t="s">
        <v>706</v>
      </c>
      <c r="F175" s="43"/>
      <c r="G175" s="3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38"/>
      <c r="AB175" s="38"/>
      <c r="AC175" s="6"/>
      <c r="AD175" s="6">
        <v>7</v>
      </c>
      <c r="AE175" s="6"/>
      <c r="AF175" s="6"/>
      <c r="AG175" s="6"/>
      <c r="AH175" s="6">
        <v>1</v>
      </c>
      <c r="AI175" s="6"/>
      <c r="AJ175" s="6"/>
      <c r="AK175" s="6"/>
      <c r="AL175" s="6"/>
      <c r="AM175" s="6"/>
      <c r="AN175" s="6"/>
      <c r="AO175" s="6"/>
      <c r="AP175" s="43"/>
      <c r="AQ175" s="43"/>
      <c r="AR175" s="60"/>
      <c r="AS175" s="60"/>
      <c r="AT175" s="49">
        <f t="shared" si="2"/>
        <v>8</v>
      </c>
    </row>
    <row r="176" spans="1:46" x14ac:dyDescent="0.15">
      <c r="A176" s="24" t="s">
        <v>1213</v>
      </c>
      <c r="B176" s="2" t="s">
        <v>862</v>
      </c>
      <c r="C176" s="2" t="s">
        <v>1214</v>
      </c>
      <c r="D176" s="2" t="s">
        <v>562</v>
      </c>
      <c r="E176" s="2" t="s">
        <v>707</v>
      </c>
      <c r="F176" s="43"/>
      <c r="G176" s="3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38"/>
      <c r="AB176" s="38"/>
      <c r="AC176" s="6"/>
      <c r="AD176" s="6">
        <v>20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43"/>
      <c r="AQ176" s="43"/>
      <c r="AR176" s="60"/>
      <c r="AS176" s="60"/>
      <c r="AT176" s="49">
        <f t="shared" si="2"/>
        <v>20</v>
      </c>
    </row>
    <row r="177" spans="1:46" x14ac:dyDescent="0.15">
      <c r="A177" s="24" t="s">
        <v>1211</v>
      </c>
      <c r="B177" s="2" t="s">
        <v>863</v>
      </c>
      <c r="C177" s="2" t="s">
        <v>1212</v>
      </c>
      <c r="D177" s="2" t="s">
        <v>562</v>
      </c>
      <c r="E177" s="2" t="s">
        <v>707</v>
      </c>
      <c r="F177" s="43"/>
      <c r="G177" s="3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38"/>
      <c r="AB177" s="38"/>
      <c r="AC177" s="6"/>
      <c r="AD177" s="6">
        <v>13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43"/>
      <c r="AQ177" s="43"/>
      <c r="AR177" s="60"/>
      <c r="AS177" s="60"/>
      <c r="AT177" s="49">
        <f t="shared" si="2"/>
        <v>13</v>
      </c>
    </row>
    <row r="178" spans="1:46" x14ac:dyDescent="0.15">
      <c r="A178" s="24" t="s">
        <v>1209</v>
      </c>
      <c r="B178" s="2" t="s">
        <v>864</v>
      </c>
      <c r="C178" s="2" t="s">
        <v>1210</v>
      </c>
      <c r="D178" s="2" t="s">
        <v>562</v>
      </c>
      <c r="E178" s="2" t="s">
        <v>707</v>
      </c>
      <c r="F178" s="43"/>
      <c r="G178" s="3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38"/>
      <c r="AB178" s="38"/>
      <c r="AC178" s="6"/>
      <c r="AD178" s="6">
        <v>13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43"/>
      <c r="AQ178" s="43"/>
      <c r="AR178" s="60"/>
      <c r="AS178" s="60"/>
      <c r="AT178" s="49">
        <f t="shared" si="2"/>
        <v>13</v>
      </c>
    </row>
    <row r="179" spans="1:46" x14ac:dyDescent="0.15">
      <c r="A179" s="24" t="s">
        <v>1207</v>
      </c>
      <c r="B179" s="2" t="s">
        <v>801</v>
      </c>
      <c r="C179" s="2" t="s">
        <v>1208</v>
      </c>
      <c r="D179" s="2" t="s">
        <v>562</v>
      </c>
      <c r="E179" s="2" t="s">
        <v>707</v>
      </c>
      <c r="F179" s="43"/>
      <c r="G179" s="3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38"/>
      <c r="AB179" s="38"/>
      <c r="AC179" s="6"/>
      <c r="AD179" s="6">
        <v>13</v>
      </c>
      <c r="AE179" s="6"/>
      <c r="AF179" s="6"/>
      <c r="AG179" s="6"/>
      <c r="AH179" s="6">
        <v>2</v>
      </c>
      <c r="AI179" s="6"/>
      <c r="AJ179" s="6"/>
      <c r="AK179" s="6"/>
      <c r="AL179" s="6"/>
      <c r="AM179" s="6"/>
      <c r="AN179" s="6"/>
      <c r="AO179" s="6"/>
      <c r="AP179" s="43"/>
      <c r="AQ179" s="43"/>
      <c r="AR179" s="60"/>
      <c r="AS179" s="60"/>
      <c r="AT179" s="49">
        <f t="shared" si="2"/>
        <v>15</v>
      </c>
    </row>
    <row r="180" spans="1:46" x14ac:dyDescent="0.15">
      <c r="A180" s="25" t="s">
        <v>1205</v>
      </c>
      <c r="B180" s="25" t="s">
        <v>444</v>
      </c>
      <c r="C180" s="2" t="s">
        <v>1206</v>
      </c>
      <c r="D180" s="2" t="s">
        <v>562</v>
      </c>
      <c r="E180" s="2" t="s">
        <v>707</v>
      </c>
      <c r="F180" s="43"/>
      <c r="G180" s="3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38"/>
      <c r="AB180" s="38"/>
      <c r="AC180" s="6"/>
      <c r="AD180" s="6">
        <v>10</v>
      </c>
      <c r="AE180" s="6"/>
      <c r="AF180" s="6"/>
      <c r="AG180" s="6"/>
      <c r="AH180" s="6">
        <v>2</v>
      </c>
      <c r="AI180" s="6"/>
      <c r="AJ180" s="6"/>
      <c r="AK180" s="6"/>
      <c r="AL180" s="6"/>
      <c r="AM180" s="6"/>
      <c r="AN180" s="6"/>
      <c r="AO180" s="6"/>
      <c r="AP180" s="43"/>
      <c r="AQ180" s="43"/>
      <c r="AR180" s="60"/>
      <c r="AS180" s="60"/>
      <c r="AT180" s="49">
        <f t="shared" si="2"/>
        <v>12</v>
      </c>
    </row>
    <row r="181" spans="1:46" x14ac:dyDescent="0.15">
      <c r="A181" s="25" t="s">
        <v>97</v>
      </c>
      <c r="B181" s="25" t="s">
        <v>813</v>
      </c>
      <c r="C181" s="3" t="s">
        <v>200</v>
      </c>
      <c r="D181" s="2" t="s">
        <v>606</v>
      </c>
      <c r="E181" s="2" t="s">
        <v>708</v>
      </c>
      <c r="F181" s="43"/>
      <c r="G181" s="32"/>
      <c r="H181" s="6">
        <v>1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38">
        <v>6</v>
      </c>
      <c r="AB181" s="38"/>
      <c r="AC181" s="6"/>
      <c r="AD181" s="6"/>
      <c r="AE181" s="6"/>
      <c r="AF181" s="6"/>
      <c r="AG181" s="6"/>
      <c r="AH181" s="6">
        <v>2</v>
      </c>
      <c r="AI181" s="6"/>
      <c r="AJ181" s="6"/>
      <c r="AK181" s="6"/>
      <c r="AL181" s="6"/>
      <c r="AM181" s="6"/>
      <c r="AN181" s="6"/>
      <c r="AO181" s="6"/>
      <c r="AP181" s="43"/>
      <c r="AQ181" s="43"/>
      <c r="AR181" s="60"/>
      <c r="AS181" s="60"/>
      <c r="AT181" s="49">
        <f t="shared" si="2"/>
        <v>9</v>
      </c>
    </row>
    <row r="182" spans="1:46" x14ac:dyDescent="0.15">
      <c r="A182" s="25" t="s">
        <v>989</v>
      </c>
      <c r="B182" s="70" t="s">
        <v>876</v>
      </c>
      <c r="C182" s="3" t="s">
        <v>877</v>
      </c>
      <c r="D182" s="2"/>
      <c r="E182" s="2" t="s">
        <v>878</v>
      </c>
      <c r="F182" s="43"/>
      <c r="G182" s="3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>
        <v>10</v>
      </c>
      <c r="V182" s="6"/>
      <c r="W182" s="6"/>
      <c r="X182" s="6"/>
      <c r="Y182" s="6"/>
      <c r="Z182" s="6"/>
      <c r="AA182" s="38"/>
      <c r="AB182" s="38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43"/>
      <c r="AQ182" s="43"/>
      <c r="AR182" s="60"/>
      <c r="AS182" s="60"/>
      <c r="AT182" s="49">
        <f t="shared" si="2"/>
        <v>10</v>
      </c>
    </row>
    <row r="183" spans="1:46" x14ac:dyDescent="0.15">
      <c r="A183" s="25" t="s">
        <v>304</v>
      </c>
      <c r="B183" s="2" t="s">
        <v>528</v>
      </c>
      <c r="C183" s="3" t="s">
        <v>305</v>
      </c>
      <c r="D183" s="2" t="s">
        <v>607</v>
      </c>
      <c r="E183" s="2" t="s">
        <v>643</v>
      </c>
      <c r="F183" s="43"/>
      <c r="G183" s="3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38"/>
      <c r="AB183" s="38"/>
      <c r="AC183" s="6"/>
      <c r="AD183" s="6"/>
      <c r="AE183" s="6"/>
      <c r="AF183" s="6"/>
      <c r="AG183" s="6"/>
      <c r="AH183" s="6"/>
      <c r="AI183" s="6">
        <v>2</v>
      </c>
      <c r="AJ183" s="6"/>
      <c r="AK183" s="6"/>
      <c r="AL183" s="6"/>
      <c r="AM183" s="6"/>
      <c r="AN183" s="6"/>
      <c r="AO183" s="6"/>
      <c r="AP183" s="43"/>
      <c r="AQ183" s="43"/>
      <c r="AR183" s="60"/>
      <c r="AS183" s="60"/>
      <c r="AT183" s="49">
        <f t="shared" si="2"/>
        <v>2</v>
      </c>
    </row>
    <row r="184" spans="1:46" x14ac:dyDescent="0.15">
      <c r="A184" s="25" t="s">
        <v>1004</v>
      </c>
      <c r="B184" s="2" t="s">
        <v>1005</v>
      </c>
      <c r="C184" s="3" t="s">
        <v>1006</v>
      </c>
      <c r="D184" s="2" t="s">
        <v>1007</v>
      </c>
      <c r="E184" s="2" t="s">
        <v>1199</v>
      </c>
      <c r="F184" s="43"/>
      <c r="G184" s="32"/>
      <c r="H184" s="6">
        <v>2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38"/>
      <c r="AB184" s="38"/>
      <c r="AC184" s="6">
        <v>2</v>
      </c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43"/>
      <c r="AQ184" s="43"/>
      <c r="AR184" s="60"/>
      <c r="AS184" s="60"/>
      <c r="AT184" s="49">
        <f t="shared" si="2"/>
        <v>4</v>
      </c>
    </row>
    <row r="185" spans="1:46" s="79" customFormat="1" x14ac:dyDescent="0.15">
      <c r="A185" s="40" t="s">
        <v>93</v>
      </c>
      <c r="B185" s="14" t="s">
        <v>446</v>
      </c>
      <c r="C185" s="14" t="s">
        <v>175</v>
      </c>
      <c r="D185" s="11" t="s">
        <v>582</v>
      </c>
      <c r="E185" s="11" t="s">
        <v>648</v>
      </c>
      <c r="F185" s="44" t="s">
        <v>341</v>
      </c>
      <c r="G185" s="50"/>
      <c r="H185" s="12">
        <v>1</v>
      </c>
      <c r="I185" s="12"/>
      <c r="J185" s="12">
        <v>1</v>
      </c>
      <c r="K185" s="12">
        <v>1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>
        <v>5</v>
      </c>
      <c r="V185" s="12">
        <v>3</v>
      </c>
      <c r="W185" s="12">
        <v>10</v>
      </c>
      <c r="X185" s="12"/>
      <c r="Y185" s="12"/>
      <c r="Z185" s="12"/>
      <c r="AA185" s="12"/>
      <c r="AB185" s="12"/>
      <c r="AC185" s="12">
        <v>10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44"/>
      <c r="AQ185" s="44"/>
      <c r="AR185" s="238"/>
      <c r="AS185" s="238"/>
      <c r="AT185" s="49">
        <f t="shared" ref="AT185:AT252" si="3">SUM(G185:AS185)</f>
        <v>31</v>
      </c>
    </row>
    <row r="186" spans="1:46" s="231" customFormat="1" x14ac:dyDescent="0.15">
      <c r="A186" s="26" t="s">
        <v>1101</v>
      </c>
      <c r="B186" s="8" t="s">
        <v>1102</v>
      </c>
      <c r="C186" s="8" t="s">
        <v>1103</v>
      </c>
      <c r="D186" s="2" t="s">
        <v>1104</v>
      </c>
      <c r="E186" s="2" t="s">
        <v>1105</v>
      </c>
      <c r="F186" s="43"/>
      <c r="G186" s="3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>
        <v>1</v>
      </c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43"/>
      <c r="AQ186" s="43"/>
      <c r="AR186" s="60"/>
      <c r="AS186" s="60"/>
      <c r="AT186" s="49">
        <f t="shared" si="3"/>
        <v>1</v>
      </c>
    </row>
    <row r="187" spans="1:46" x14ac:dyDescent="0.15">
      <c r="A187" s="26" t="s">
        <v>841</v>
      </c>
      <c r="B187" s="8" t="s">
        <v>447</v>
      </c>
      <c r="C187" s="8" t="s">
        <v>201</v>
      </c>
      <c r="D187" s="2" t="s">
        <v>563</v>
      </c>
      <c r="E187" s="2" t="s">
        <v>709</v>
      </c>
      <c r="F187" s="43"/>
      <c r="G187" s="3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>
        <v>2</v>
      </c>
      <c r="X187" s="6"/>
      <c r="Y187" s="6"/>
      <c r="Z187" s="6"/>
      <c r="AA187" s="38"/>
      <c r="AB187" s="38"/>
      <c r="AC187" s="6">
        <v>2</v>
      </c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43"/>
      <c r="AQ187" s="43"/>
      <c r="AR187" s="60"/>
      <c r="AS187" s="60"/>
      <c r="AT187" s="49">
        <f t="shared" si="3"/>
        <v>4</v>
      </c>
    </row>
    <row r="188" spans="1:46" x14ac:dyDescent="0.15">
      <c r="A188" s="25" t="s">
        <v>24</v>
      </c>
      <c r="B188" s="2" t="s">
        <v>448</v>
      </c>
      <c r="C188" s="2" t="s">
        <v>138</v>
      </c>
      <c r="D188" s="2" t="s">
        <v>995</v>
      </c>
      <c r="E188" s="2" t="s">
        <v>710</v>
      </c>
      <c r="F188" s="43"/>
      <c r="G188" s="32"/>
      <c r="H188" s="6"/>
      <c r="I188" s="6"/>
      <c r="J188" s="6">
        <v>3</v>
      </c>
      <c r="K188" s="6">
        <v>3</v>
      </c>
      <c r="L188" s="6"/>
      <c r="M188" s="6"/>
      <c r="N188" s="6"/>
      <c r="O188" s="6">
        <v>3</v>
      </c>
      <c r="P188" s="6">
        <v>3</v>
      </c>
      <c r="Q188" s="6"/>
      <c r="R188" s="6"/>
      <c r="S188" s="6"/>
      <c r="T188" s="6"/>
      <c r="U188" s="6">
        <v>5</v>
      </c>
      <c r="V188" s="6">
        <v>10</v>
      </c>
      <c r="W188" s="6">
        <v>20</v>
      </c>
      <c r="X188" s="6"/>
      <c r="Y188" s="6"/>
      <c r="Z188" s="6"/>
      <c r="AA188" s="38"/>
      <c r="AB188" s="38"/>
      <c r="AC188" s="6">
        <v>6</v>
      </c>
      <c r="AD188" s="6">
        <v>3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43"/>
      <c r="AQ188" s="43"/>
      <c r="AR188" s="60"/>
      <c r="AS188" s="60"/>
      <c r="AT188" s="49">
        <f t="shared" si="3"/>
        <v>56</v>
      </c>
    </row>
    <row r="189" spans="1:46" x14ac:dyDescent="0.15">
      <c r="A189" s="25" t="s">
        <v>1125</v>
      </c>
      <c r="B189" s="2" t="s">
        <v>1126</v>
      </c>
      <c r="C189" s="2" t="s">
        <v>1127</v>
      </c>
      <c r="D189" s="2" t="s">
        <v>1128</v>
      </c>
      <c r="E189" s="2" t="s">
        <v>1129</v>
      </c>
      <c r="F189" s="43"/>
      <c r="G189" s="32"/>
      <c r="H189" s="6"/>
      <c r="I189" s="6"/>
      <c r="J189" s="6"/>
      <c r="K189" s="6"/>
      <c r="L189" s="6">
        <v>2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38"/>
      <c r="AB189" s="38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43"/>
      <c r="AQ189" s="43"/>
      <c r="AR189" s="60"/>
      <c r="AS189" s="60"/>
      <c r="AT189" s="49">
        <f t="shared" si="3"/>
        <v>2</v>
      </c>
    </row>
    <row r="190" spans="1:46" x14ac:dyDescent="0.15">
      <c r="A190" s="25" t="s">
        <v>1267</v>
      </c>
      <c r="B190" s="2"/>
      <c r="C190" s="2" t="s">
        <v>1268</v>
      </c>
      <c r="D190" s="2"/>
      <c r="E190" s="2" t="s">
        <v>1269</v>
      </c>
      <c r="F190" s="43"/>
      <c r="G190" s="3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38"/>
      <c r="AB190" s="38"/>
      <c r="AC190" s="6"/>
      <c r="AD190" s="6">
        <v>3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43"/>
      <c r="AQ190" s="43"/>
      <c r="AR190" s="60"/>
      <c r="AS190" s="60"/>
      <c r="AT190" s="49">
        <f t="shared" si="3"/>
        <v>3</v>
      </c>
    </row>
    <row r="191" spans="1:46" x14ac:dyDescent="0.15">
      <c r="A191" s="25" t="s">
        <v>1374</v>
      </c>
      <c r="B191" s="2"/>
      <c r="C191" s="2" t="s">
        <v>1375</v>
      </c>
      <c r="D191" s="2"/>
      <c r="E191" s="2" t="s">
        <v>1376</v>
      </c>
      <c r="F191" s="43"/>
      <c r="G191" s="3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38"/>
      <c r="AB191" s="38"/>
      <c r="AC191" s="6"/>
      <c r="AD191" s="6"/>
      <c r="AE191" s="6"/>
      <c r="AF191" s="6"/>
      <c r="AG191" s="6"/>
      <c r="AH191" s="6">
        <v>10</v>
      </c>
      <c r="AI191" s="6"/>
      <c r="AJ191" s="6"/>
      <c r="AK191" s="6"/>
      <c r="AL191" s="6"/>
      <c r="AM191" s="6"/>
      <c r="AN191" s="6"/>
      <c r="AO191" s="6"/>
      <c r="AP191" s="43"/>
      <c r="AQ191" s="43"/>
      <c r="AR191" s="60"/>
      <c r="AS191" s="60"/>
      <c r="AT191" s="49"/>
    </row>
    <row r="192" spans="1:46" x14ac:dyDescent="0.15">
      <c r="A192" s="25" t="s">
        <v>1288</v>
      </c>
      <c r="B192" s="2"/>
      <c r="C192" s="2" t="s">
        <v>1289</v>
      </c>
      <c r="D192" s="2"/>
      <c r="E192" s="2" t="s">
        <v>1290</v>
      </c>
      <c r="F192" s="43"/>
      <c r="G192" s="3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38"/>
      <c r="AB192" s="38"/>
      <c r="AC192" s="6"/>
      <c r="AD192" s="6"/>
      <c r="AE192" s="6"/>
      <c r="AF192" s="6"/>
      <c r="AG192" s="6"/>
      <c r="AH192" s="6">
        <v>5</v>
      </c>
      <c r="AI192" s="6"/>
      <c r="AJ192" s="6"/>
      <c r="AK192" s="6"/>
      <c r="AL192" s="6"/>
      <c r="AM192" s="6"/>
      <c r="AN192" s="6"/>
      <c r="AO192" s="6"/>
      <c r="AP192" s="43"/>
      <c r="AQ192" s="43"/>
      <c r="AR192" s="60"/>
      <c r="AS192" s="60"/>
      <c r="AT192" s="49">
        <f t="shared" si="3"/>
        <v>5</v>
      </c>
    </row>
    <row r="193" spans="1:46" x14ac:dyDescent="0.15">
      <c r="A193" s="24" t="s">
        <v>10</v>
      </c>
      <c r="B193" s="2" t="s">
        <v>449</v>
      </c>
      <c r="C193" s="2" t="s">
        <v>213</v>
      </c>
      <c r="D193" s="2" t="s">
        <v>556</v>
      </c>
      <c r="E193" s="2" t="s">
        <v>711</v>
      </c>
      <c r="F193" s="43"/>
      <c r="G193" s="3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>
        <v>5</v>
      </c>
      <c r="X193" s="6">
        <v>10</v>
      </c>
      <c r="Y193" s="6"/>
      <c r="Z193" s="6"/>
      <c r="AA193" s="38"/>
      <c r="AB193" s="38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43"/>
      <c r="AQ193" s="43"/>
      <c r="AR193" s="60"/>
      <c r="AS193" s="60"/>
      <c r="AT193" s="49">
        <f t="shared" si="3"/>
        <v>15</v>
      </c>
    </row>
    <row r="194" spans="1:46" x14ac:dyDescent="0.15">
      <c r="A194" s="24" t="s">
        <v>992</v>
      </c>
      <c r="B194" s="2" t="s">
        <v>994</v>
      </c>
      <c r="C194" s="2" t="s">
        <v>993</v>
      </c>
      <c r="D194" s="2" t="s">
        <v>996</v>
      </c>
      <c r="E194" s="2" t="s">
        <v>747</v>
      </c>
      <c r="F194" s="43"/>
      <c r="G194" s="3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38"/>
      <c r="AB194" s="38"/>
      <c r="AC194" s="6"/>
      <c r="AD194" s="6"/>
      <c r="AE194" s="6">
        <v>2</v>
      </c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43"/>
      <c r="AQ194" s="43"/>
      <c r="AR194" s="60"/>
      <c r="AS194" s="60"/>
      <c r="AT194" s="49">
        <f t="shared" si="3"/>
        <v>2</v>
      </c>
    </row>
    <row r="195" spans="1:46" s="79" customFormat="1" x14ac:dyDescent="0.15">
      <c r="A195" s="27" t="s">
        <v>608</v>
      </c>
      <c r="B195" s="11" t="s">
        <v>450</v>
      </c>
      <c r="C195" s="11" t="s">
        <v>609</v>
      </c>
      <c r="D195" s="11" t="s">
        <v>590</v>
      </c>
      <c r="E195" s="11" t="s">
        <v>712</v>
      </c>
      <c r="F195" s="44" t="s">
        <v>342</v>
      </c>
      <c r="G195" s="50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44"/>
      <c r="AQ195" s="44"/>
      <c r="AR195" s="238"/>
      <c r="AS195" s="238"/>
      <c r="AT195" s="49">
        <f t="shared" si="3"/>
        <v>0</v>
      </c>
    </row>
    <row r="196" spans="1:46" x14ac:dyDescent="0.15">
      <c r="A196" s="25" t="s">
        <v>314</v>
      </c>
      <c r="B196" s="2" t="s">
        <v>529</v>
      </c>
      <c r="C196" s="2" t="s">
        <v>1392</v>
      </c>
      <c r="D196" s="2" t="s">
        <v>563</v>
      </c>
      <c r="E196" s="2" t="s">
        <v>713</v>
      </c>
      <c r="F196" s="43"/>
      <c r="G196" s="32"/>
      <c r="H196" s="6">
        <v>1</v>
      </c>
      <c r="I196" s="6">
        <v>2</v>
      </c>
      <c r="J196" s="6"/>
      <c r="K196" s="6"/>
      <c r="L196" s="6"/>
      <c r="M196" s="6">
        <v>2</v>
      </c>
      <c r="N196" s="6"/>
      <c r="O196" s="6"/>
      <c r="P196" s="6"/>
      <c r="Q196" s="6"/>
      <c r="R196" s="6"/>
      <c r="S196" s="6"/>
      <c r="T196" s="6"/>
      <c r="U196" s="6"/>
      <c r="V196" s="6">
        <v>5</v>
      </c>
      <c r="W196" s="6"/>
      <c r="X196" s="6"/>
      <c r="Y196" s="6"/>
      <c r="Z196" s="6"/>
      <c r="AA196" s="38"/>
      <c r="AB196" s="38"/>
      <c r="AC196" s="6"/>
      <c r="AD196" s="6"/>
      <c r="AE196" s="6"/>
      <c r="AF196" s="6"/>
      <c r="AG196" s="6"/>
      <c r="AH196" s="6">
        <v>3</v>
      </c>
      <c r="AI196" s="6"/>
      <c r="AJ196" s="6"/>
      <c r="AK196" s="6"/>
      <c r="AL196" s="6"/>
      <c r="AM196" s="6"/>
      <c r="AN196" s="6"/>
      <c r="AO196" s="6"/>
      <c r="AP196" s="43"/>
      <c r="AQ196" s="43"/>
      <c r="AR196" s="60"/>
      <c r="AS196" s="60"/>
      <c r="AT196" s="49">
        <f t="shared" si="3"/>
        <v>13</v>
      </c>
    </row>
    <row r="197" spans="1:46" x14ac:dyDescent="0.15">
      <c r="A197" s="24" t="s">
        <v>842</v>
      </c>
      <c r="B197" s="2" t="s">
        <v>451</v>
      </c>
      <c r="C197" s="2" t="s">
        <v>176</v>
      </c>
      <c r="D197" s="2" t="s">
        <v>556</v>
      </c>
      <c r="E197" s="2" t="s">
        <v>714</v>
      </c>
      <c r="F197" s="43"/>
      <c r="G197" s="3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>
        <v>10</v>
      </c>
      <c r="Z197" s="6"/>
      <c r="AA197" s="38"/>
      <c r="AB197" s="38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43"/>
      <c r="AQ197" s="43"/>
      <c r="AR197" s="60"/>
      <c r="AS197" s="60"/>
      <c r="AT197" s="49">
        <f t="shared" si="3"/>
        <v>10</v>
      </c>
    </row>
    <row r="198" spans="1:46" x14ac:dyDescent="0.15">
      <c r="A198" s="25" t="s">
        <v>1012</v>
      </c>
      <c r="B198" s="2" t="s">
        <v>1013</v>
      </c>
      <c r="C198" s="2" t="s">
        <v>1042</v>
      </c>
      <c r="D198" s="2" t="s">
        <v>559</v>
      </c>
      <c r="E198" s="2" t="s">
        <v>1014</v>
      </c>
      <c r="F198" s="43"/>
      <c r="G198" s="3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38"/>
      <c r="AB198" s="38"/>
      <c r="AC198" s="6"/>
      <c r="AD198" s="6">
        <v>20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43"/>
      <c r="AQ198" s="43"/>
      <c r="AR198" s="60"/>
      <c r="AS198" s="60"/>
      <c r="AT198" s="49">
        <f t="shared" si="3"/>
        <v>20</v>
      </c>
    </row>
    <row r="199" spans="1:46" x14ac:dyDescent="0.15">
      <c r="A199" s="25" t="s">
        <v>1252</v>
      </c>
      <c r="B199" s="2"/>
      <c r="C199" s="2" t="s">
        <v>1253</v>
      </c>
      <c r="D199" s="2"/>
      <c r="E199" s="2" t="s">
        <v>1254</v>
      </c>
      <c r="F199" s="43"/>
      <c r="G199" s="3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38"/>
      <c r="AB199" s="38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43"/>
      <c r="AQ199" s="43"/>
      <c r="AR199" s="60"/>
      <c r="AS199" s="60"/>
      <c r="AT199" s="49">
        <f t="shared" si="3"/>
        <v>0</v>
      </c>
    </row>
    <row r="200" spans="1:46" x14ac:dyDescent="0.15">
      <c r="A200" s="24" t="s">
        <v>234</v>
      </c>
      <c r="B200" s="2" t="s">
        <v>452</v>
      </c>
      <c r="C200" s="2" t="s">
        <v>136</v>
      </c>
      <c r="D200" s="2" t="s">
        <v>560</v>
      </c>
      <c r="E200" s="2" t="s">
        <v>640</v>
      </c>
      <c r="F200" s="43"/>
      <c r="G200" s="32">
        <v>2</v>
      </c>
      <c r="H200" s="6">
        <v>1</v>
      </c>
      <c r="I200" s="6">
        <v>1</v>
      </c>
      <c r="J200" s="6">
        <v>1</v>
      </c>
      <c r="K200" s="6">
        <v>1</v>
      </c>
      <c r="L200" s="6">
        <v>2</v>
      </c>
      <c r="M200" s="6">
        <v>2</v>
      </c>
      <c r="N200" s="6"/>
      <c r="O200" s="6">
        <v>2</v>
      </c>
      <c r="P200" s="6">
        <v>2</v>
      </c>
      <c r="Q200" s="6">
        <v>2</v>
      </c>
      <c r="R200" s="6">
        <v>1</v>
      </c>
      <c r="S200" s="6">
        <v>3</v>
      </c>
      <c r="T200" s="6"/>
      <c r="U200" s="6"/>
      <c r="V200" s="6">
        <v>2</v>
      </c>
      <c r="W200" s="6">
        <v>5</v>
      </c>
      <c r="X200" s="6"/>
      <c r="Y200" s="6"/>
      <c r="Z200" s="6"/>
      <c r="AA200" s="38">
        <v>5</v>
      </c>
      <c r="AB200" s="38"/>
      <c r="AC200" s="6">
        <v>2</v>
      </c>
      <c r="AD200" s="6">
        <v>5</v>
      </c>
      <c r="AE200" s="6"/>
      <c r="AF200" s="6"/>
      <c r="AG200" s="6"/>
      <c r="AH200" s="6">
        <v>5</v>
      </c>
      <c r="AI200" s="6"/>
      <c r="AJ200" s="6"/>
      <c r="AK200" s="6"/>
      <c r="AL200" s="6"/>
      <c r="AM200" s="6"/>
      <c r="AN200" s="6"/>
      <c r="AO200" s="6">
        <v>2</v>
      </c>
      <c r="AP200" s="43"/>
      <c r="AQ200" s="43"/>
      <c r="AR200" s="60"/>
      <c r="AS200" s="60"/>
      <c r="AT200" s="49">
        <f t="shared" si="3"/>
        <v>46</v>
      </c>
    </row>
    <row r="201" spans="1:46" x14ac:dyDescent="0.15">
      <c r="A201" s="29" t="s">
        <v>1316</v>
      </c>
      <c r="B201" s="9" t="s">
        <v>530</v>
      </c>
      <c r="C201" s="9" t="s">
        <v>333</v>
      </c>
      <c r="D201" s="2" t="s">
        <v>611</v>
      </c>
      <c r="E201" s="2" t="s">
        <v>716</v>
      </c>
      <c r="F201" s="43"/>
      <c r="G201" s="3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38"/>
      <c r="AB201" s="38"/>
      <c r="AC201" s="6"/>
      <c r="AD201" s="6"/>
      <c r="AE201" s="6"/>
      <c r="AF201" s="6">
        <v>2</v>
      </c>
      <c r="AG201" s="6"/>
      <c r="AH201" s="6"/>
      <c r="AI201" s="6"/>
      <c r="AJ201" s="6"/>
      <c r="AK201" s="6"/>
      <c r="AL201" s="6"/>
      <c r="AM201" s="6"/>
      <c r="AN201" s="6"/>
      <c r="AO201" s="6"/>
      <c r="AP201" s="43"/>
      <c r="AQ201" s="43"/>
      <c r="AR201" s="60"/>
      <c r="AS201" s="60"/>
      <c r="AT201" s="49">
        <f t="shared" si="3"/>
        <v>2</v>
      </c>
    </row>
    <row r="202" spans="1:46" s="79" customFormat="1" x14ac:dyDescent="0.15">
      <c r="A202" s="27" t="s">
        <v>988</v>
      </c>
      <c r="B202" s="11" t="s">
        <v>454</v>
      </c>
      <c r="C202" s="11" t="s">
        <v>133</v>
      </c>
      <c r="D202" s="11" t="s">
        <v>561</v>
      </c>
      <c r="E202" s="11" t="s">
        <v>717</v>
      </c>
      <c r="F202" s="44" t="s">
        <v>341</v>
      </c>
      <c r="G202" s="50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>
        <v>10</v>
      </c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44"/>
      <c r="AQ202" s="44"/>
      <c r="AR202" s="238"/>
      <c r="AS202" s="238"/>
      <c r="AT202" s="49">
        <f t="shared" si="3"/>
        <v>10</v>
      </c>
    </row>
    <row r="203" spans="1:46" s="79" customFormat="1" x14ac:dyDescent="0.15">
      <c r="A203" s="27" t="s">
        <v>39</v>
      </c>
      <c r="B203" s="11" t="s">
        <v>455</v>
      </c>
      <c r="C203" s="11" t="s">
        <v>134</v>
      </c>
      <c r="D203" s="11" t="s">
        <v>561</v>
      </c>
      <c r="E203" s="11" t="s">
        <v>718</v>
      </c>
      <c r="F203" s="44" t="s">
        <v>353</v>
      </c>
      <c r="G203" s="50"/>
      <c r="H203" s="12"/>
      <c r="I203" s="12">
        <v>1</v>
      </c>
      <c r="J203" s="12">
        <v>1</v>
      </c>
      <c r="K203" s="12">
        <v>3</v>
      </c>
      <c r="L203" s="12"/>
      <c r="M203" s="12">
        <v>1</v>
      </c>
      <c r="N203" s="12"/>
      <c r="O203" s="12">
        <v>2</v>
      </c>
      <c r="P203" s="12">
        <v>1</v>
      </c>
      <c r="Q203" s="12">
        <v>2</v>
      </c>
      <c r="R203" s="12"/>
      <c r="S203" s="12">
        <v>5</v>
      </c>
      <c r="T203" s="12">
        <v>5</v>
      </c>
      <c r="U203" s="12">
        <v>3</v>
      </c>
      <c r="V203" s="12">
        <v>2</v>
      </c>
      <c r="W203" s="12">
        <v>3</v>
      </c>
      <c r="X203" s="12"/>
      <c r="Y203" s="12"/>
      <c r="Z203" s="12"/>
      <c r="AA203" s="12">
        <v>5</v>
      </c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44"/>
      <c r="AQ203" s="44"/>
      <c r="AR203" s="238"/>
      <c r="AS203" s="238"/>
      <c r="AT203" s="49">
        <f t="shared" si="3"/>
        <v>34</v>
      </c>
    </row>
    <row r="204" spans="1:46" x14ac:dyDescent="0.15">
      <c r="A204" s="24" t="s">
        <v>37</v>
      </c>
      <c r="B204" s="2" t="s">
        <v>456</v>
      </c>
      <c r="C204" s="2" t="s">
        <v>202</v>
      </c>
      <c r="D204" s="2" t="s">
        <v>554</v>
      </c>
      <c r="E204" s="2" t="s">
        <v>720</v>
      </c>
      <c r="F204" s="43"/>
      <c r="G204" s="3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>
        <v>30</v>
      </c>
      <c r="X204" s="6"/>
      <c r="Y204" s="6"/>
      <c r="Z204" s="6"/>
      <c r="AA204" s="38"/>
      <c r="AB204" s="38"/>
      <c r="AC204" s="6">
        <v>2</v>
      </c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43"/>
      <c r="AQ204" s="43"/>
      <c r="AR204" s="60"/>
      <c r="AS204" s="60"/>
      <c r="AT204" s="49">
        <f t="shared" si="3"/>
        <v>32</v>
      </c>
    </row>
    <row r="205" spans="1:46" x14ac:dyDescent="0.15">
      <c r="A205" s="24" t="s">
        <v>805</v>
      </c>
      <c r="B205" s="2" t="s">
        <v>811</v>
      </c>
      <c r="C205" s="2" t="s">
        <v>812</v>
      </c>
      <c r="D205" s="2" t="s">
        <v>806</v>
      </c>
      <c r="E205" s="2" t="s">
        <v>807</v>
      </c>
      <c r="F205" s="62"/>
      <c r="G205" s="51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>
        <v>3</v>
      </c>
      <c r="V205" s="52">
        <v>5</v>
      </c>
      <c r="W205" s="52"/>
      <c r="X205" s="52"/>
      <c r="Y205" s="52"/>
      <c r="Z205" s="52"/>
      <c r="AA205" s="52"/>
      <c r="AB205" s="52"/>
      <c r="AC205" s="229"/>
      <c r="AD205" s="229"/>
      <c r="AE205" s="52"/>
      <c r="AF205" s="52"/>
      <c r="AG205" s="229"/>
      <c r="AH205" s="229"/>
      <c r="AI205" s="229"/>
      <c r="AJ205" s="229"/>
      <c r="AK205" s="229"/>
      <c r="AL205" s="229"/>
      <c r="AM205" s="229"/>
      <c r="AN205" s="229"/>
      <c r="AO205" s="229"/>
      <c r="AP205" s="235"/>
      <c r="AQ205" s="235"/>
      <c r="AR205" s="236"/>
      <c r="AS205" s="236"/>
      <c r="AT205" s="49">
        <f t="shared" si="3"/>
        <v>8</v>
      </c>
    </row>
    <row r="206" spans="1:46" s="79" customFormat="1" x14ac:dyDescent="0.15">
      <c r="A206" s="23" t="s">
        <v>843</v>
      </c>
      <c r="B206" s="11" t="s">
        <v>457</v>
      </c>
      <c r="C206" s="11" t="s">
        <v>220</v>
      </c>
      <c r="D206" s="11" t="s">
        <v>588</v>
      </c>
      <c r="E206" s="11" t="s">
        <v>719</v>
      </c>
      <c r="F206" s="44" t="s">
        <v>354</v>
      </c>
      <c r="G206" s="50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>
        <v>2</v>
      </c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44"/>
      <c r="AQ206" s="44"/>
      <c r="AR206" s="238"/>
      <c r="AS206" s="238"/>
      <c r="AT206" s="49">
        <f t="shared" si="3"/>
        <v>2</v>
      </c>
    </row>
    <row r="207" spans="1:46" s="79" customFormat="1" x14ac:dyDescent="0.15">
      <c r="A207" s="23" t="s">
        <v>32</v>
      </c>
      <c r="B207" s="11" t="s">
        <v>458</v>
      </c>
      <c r="C207" s="11" t="s">
        <v>221</v>
      </c>
      <c r="D207" s="11" t="s">
        <v>588</v>
      </c>
      <c r="E207" s="11" t="s">
        <v>719</v>
      </c>
      <c r="F207" s="44" t="s">
        <v>354</v>
      </c>
      <c r="G207" s="50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>
        <v>2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44"/>
      <c r="AQ207" s="44"/>
      <c r="AR207" s="238"/>
      <c r="AS207" s="238"/>
      <c r="AT207" s="49">
        <f t="shared" si="3"/>
        <v>2</v>
      </c>
    </row>
    <row r="208" spans="1:46" s="79" customFormat="1" x14ac:dyDescent="0.15">
      <c r="A208" s="23" t="s">
        <v>33</v>
      </c>
      <c r="B208" s="11" t="s">
        <v>459</v>
      </c>
      <c r="C208" s="11" t="s">
        <v>148</v>
      </c>
      <c r="D208" s="11" t="s">
        <v>612</v>
      </c>
      <c r="E208" s="11" t="s">
        <v>701</v>
      </c>
      <c r="F208" s="44" t="s">
        <v>341</v>
      </c>
      <c r="G208" s="50"/>
      <c r="H208" s="12">
        <v>10</v>
      </c>
      <c r="I208" s="12"/>
      <c r="J208" s="12"/>
      <c r="K208" s="12"/>
      <c r="L208" s="12"/>
      <c r="M208" s="12"/>
      <c r="N208" s="12"/>
      <c r="O208" s="12"/>
      <c r="P208" s="12">
        <v>3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>
        <v>8</v>
      </c>
      <c r="AB208" s="12"/>
      <c r="AC208" s="12">
        <v>16</v>
      </c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44"/>
      <c r="AQ208" s="44"/>
      <c r="AR208" s="238"/>
      <c r="AS208" s="238"/>
      <c r="AT208" s="49">
        <f t="shared" si="3"/>
        <v>37</v>
      </c>
    </row>
    <row r="209" spans="1:46" s="79" customFormat="1" x14ac:dyDescent="0.15">
      <c r="A209" s="23" t="s">
        <v>779</v>
      </c>
      <c r="B209" s="11" t="s">
        <v>780</v>
      </c>
      <c r="C209" s="11" t="s">
        <v>781</v>
      </c>
      <c r="D209" s="11" t="s">
        <v>782</v>
      </c>
      <c r="E209" s="11" t="s">
        <v>664</v>
      </c>
      <c r="F209" s="44" t="s">
        <v>783</v>
      </c>
      <c r="G209" s="50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>
        <v>20</v>
      </c>
      <c r="X209" s="12"/>
      <c r="Y209" s="12"/>
      <c r="Z209" s="12"/>
      <c r="AA209" s="12"/>
      <c r="AB209" s="12"/>
      <c r="AC209" s="12">
        <v>5</v>
      </c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44"/>
      <c r="AQ209" s="44"/>
      <c r="AR209" s="238"/>
      <c r="AS209" s="238"/>
      <c r="AT209" s="49">
        <f t="shared" si="3"/>
        <v>25</v>
      </c>
    </row>
    <row r="210" spans="1:46" s="231" customFormat="1" x14ac:dyDescent="0.15">
      <c r="A210" s="24" t="s">
        <v>1368</v>
      </c>
      <c r="B210" s="2"/>
      <c r="C210" s="2" t="s">
        <v>1369</v>
      </c>
      <c r="D210" s="2"/>
      <c r="E210" s="71" t="s">
        <v>1370</v>
      </c>
      <c r="F210" s="43"/>
      <c r="G210" s="32"/>
      <c r="H210" s="6"/>
      <c r="I210" s="6"/>
      <c r="J210" s="6"/>
      <c r="K210" s="6"/>
      <c r="L210" s="6"/>
      <c r="M210" s="6"/>
      <c r="N210" s="6"/>
      <c r="O210" s="6"/>
      <c r="P210" s="6"/>
      <c r="Q210" s="6">
        <v>1</v>
      </c>
      <c r="R210" s="6"/>
      <c r="S210" s="6"/>
      <c r="T210" s="6"/>
      <c r="U210" s="6"/>
      <c r="V210" s="6"/>
      <c r="W210" s="6">
        <v>2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43"/>
      <c r="AQ210" s="43"/>
      <c r="AR210" s="60"/>
      <c r="AS210" s="60"/>
      <c r="AT210" s="49"/>
    </row>
    <row r="211" spans="1:46" x14ac:dyDescent="0.15">
      <c r="A211" s="24" t="s">
        <v>1285</v>
      </c>
      <c r="B211" s="8"/>
      <c r="C211" s="8" t="s">
        <v>1286</v>
      </c>
      <c r="D211" s="2"/>
      <c r="E211" s="71" t="s">
        <v>729</v>
      </c>
      <c r="F211" s="43"/>
      <c r="G211" s="3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38"/>
      <c r="AB211" s="38"/>
      <c r="AC211" s="6"/>
      <c r="AD211" s="6"/>
      <c r="AE211" s="6"/>
      <c r="AF211" s="6"/>
      <c r="AG211" s="6"/>
      <c r="AH211" s="6">
        <v>2</v>
      </c>
      <c r="AI211" s="6"/>
      <c r="AJ211" s="6"/>
      <c r="AK211" s="6"/>
      <c r="AL211" s="6"/>
      <c r="AM211" s="6"/>
      <c r="AN211" s="6"/>
      <c r="AO211" s="6"/>
      <c r="AP211" s="43"/>
      <c r="AQ211" s="43"/>
      <c r="AR211" s="60"/>
      <c r="AS211" s="60"/>
      <c r="AT211" s="49">
        <f t="shared" si="3"/>
        <v>2</v>
      </c>
    </row>
    <row r="212" spans="1:46" x14ac:dyDescent="0.15">
      <c r="A212" s="24" t="s">
        <v>1353</v>
      </c>
      <c r="B212" s="8"/>
      <c r="C212" s="8" t="s">
        <v>1354</v>
      </c>
      <c r="D212" s="2"/>
      <c r="E212" s="71" t="s">
        <v>729</v>
      </c>
      <c r="F212" s="43"/>
      <c r="G212" s="3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38"/>
      <c r="AB212" s="38"/>
      <c r="AC212" s="6"/>
      <c r="AD212" s="6"/>
      <c r="AE212" s="6"/>
      <c r="AF212" s="6">
        <v>3</v>
      </c>
      <c r="AG212" s="6"/>
      <c r="AH212" s="6"/>
      <c r="AI212" s="6"/>
      <c r="AJ212" s="6"/>
      <c r="AK212" s="6"/>
      <c r="AL212" s="6"/>
      <c r="AM212" s="6"/>
      <c r="AN212" s="6"/>
      <c r="AO212" s="6"/>
      <c r="AP212" s="43"/>
      <c r="AQ212" s="43"/>
      <c r="AR212" s="60"/>
      <c r="AS212" s="60"/>
      <c r="AT212" s="49">
        <f t="shared" si="3"/>
        <v>3</v>
      </c>
    </row>
    <row r="213" spans="1:46" x14ac:dyDescent="0.15">
      <c r="A213" s="24" t="s">
        <v>88</v>
      </c>
      <c r="B213" s="2" t="s">
        <v>532</v>
      </c>
      <c r="C213" s="2" t="s">
        <v>270</v>
      </c>
      <c r="D213" s="2" t="s">
        <v>613</v>
      </c>
      <c r="E213" s="2" t="s">
        <v>721</v>
      </c>
      <c r="F213" s="43"/>
      <c r="G213" s="3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38"/>
      <c r="AB213" s="38"/>
      <c r="AC213" s="6"/>
      <c r="AD213" s="6"/>
      <c r="AE213" s="6"/>
      <c r="AF213" s="6" t="s">
        <v>1357</v>
      </c>
      <c r="AG213" s="6"/>
      <c r="AH213" s="6"/>
      <c r="AI213" s="6"/>
      <c r="AJ213" s="6"/>
      <c r="AK213" s="6"/>
      <c r="AL213" s="6"/>
      <c r="AM213" s="6"/>
      <c r="AN213" s="6"/>
      <c r="AO213" s="6"/>
      <c r="AP213" s="43"/>
      <c r="AQ213" s="43"/>
      <c r="AR213" s="60"/>
      <c r="AS213" s="60"/>
      <c r="AT213" s="49">
        <f t="shared" si="3"/>
        <v>0</v>
      </c>
    </row>
    <row r="214" spans="1:46" x14ac:dyDescent="0.15">
      <c r="A214" s="24" t="s">
        <v>64</v>
      </c>
      <c r="B214" s="2" t="s">
        <v>461</v>
      </c>
      <c r="C214" s="2" t="s">
        <v>177</v>
      </c>
      <c r="D214" s="2" t="s">
        <v>561</v>
      </c>
      <c r="E214" s="2" t="s">
        <v>722</v>
      </c>
      <c r="F214" s="43"/>
      <c r="G214" s="3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>
        <v>4</v>
      </c>
      <c r="X214" s="6"/>
      <c r="Y214" s="6"/>
      <c r="Z214" s="6"/>
      <c r="AA214" s="38"/>
      <c r="AB214" s="38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43"/>
      <c r="AQ214" s="43"/>
      <c r="AR214" s="60"/>
      <c r="AS214" s="60"/>
      <c r="AT214" s="49">
        <f t="shared" si="3"/>
        <v>4</v>
      </c>
    </row>
    <row r="215" spans="1:46" x14ac:dyDescent="0.15">
      <c r="A215" s="25" t="s">
        <v>102</v>
      </c>
      <c r="B215" s="2" t="s">
        <v>103</v>
      </c>
      <c r="C215" s="2" t="s">
        <v>104</v>
      </c>
      <c r="D215" s="2" t="s">
        <v>554</v>
      </c>
      <c r="E215" s="2" t="s">
        <v>723</v>
      </c>
      <c r="F215" s="43"/>
      <c r="G215" s="3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38"/>
      <c r="AB215" s="38"/>
      <c r="AC215" s="6"/>
      <c r="AD215" s="6"/>
      <c r="AE215" s="6"/>
      <c r="AF215" s="6"/>
      <c r="AG215" s="6"/>
      <c r="AH215" s="6">
        <v>1</v>
      </c>
      <c r="AI215" s="6"/>
      <c r="AJ215" s="6"/>
      <c r="AK215" s="6"/>
      <c r="AL215" s="6"/>
      <c r="AM215" s="6"/>
      <c r="AN215" s="6"/>
      <c r="AO215" s="6"/>
      <c r="AP215" s="43"/>
      <c r="AQ215" s="43"/>
      <c r="AR215" s="60"/>
      <c r="AS215" s="60"/>
      <c r="AT215" s="49">
        <f t="shared" si="3"/>
        <v>1</v>
      </c>
    </row>
    <row r="216" spans="1:46" x14ac:dyDescent="0.15">
      <c r="A216" s="25" t="s">
        <v>324</v>
      </c>
      <c r="B216" s="2" t="s">
        <v>533</v>
      </c>
      <c r="C216" s="2" t="s">
        <v>323</v>
      </c>
      <c r="D216" s="2" t="s">
        <v>562</v>
      </c>
      <c r="E216" s="2" t="s">
        <v>724</v>
      </c>
      <c r="F216" s="43"/>
      <c r="G216" s="3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38"/>
      <c r="AB216" s="38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43"/>
      <c r="AQ216" s="43"/>
      <c r="AR216" s="60"/>
      <c r="AS216" s="60"/>
      <c r="AT216" s="49">
        <f t="shared" si="3"/>
        <v>0</v>
      </c>
    </row>
    <row r="217" spans="1:46" x14ac:dyDescent="0.15">
      <c r="A217" s="24" t="s">
        <v>20</v>
      </c>
      <c r="B217" s="2" t="s">
        <v>462</v>
      </c>
      <c r="C217" s="2" t="s">
        <v>78</v>
      </c>
      <c r="D217" s="2" t="s">
        <v>559</v>
      </c>
      <c r="E217" s="2" t="s">
        <v>684</v>
      </c>
      <c r="F217" s="43"/>
      <c r="G217" s="3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>
        <v>2</v>
      </c>
      <c r="V217" s="6"/>
      <c r="W217" s="6">
        <v>10</v>
      </c>
      <c r="X217" s="6"/>
      <c r="Y217" s="6"/>
      <c r="Z217" s="6"/>
      <c r="AA217" s="38"/>
      <c r="AB217" s="38"/>
      <c r="AC217" s="6">
        <v>2</v>
      </c>
      <c r="AD217" s="6"/>
      <c r="AE217" s="6"/>
      <c r="AF217" s="6"/>
      <c r="AG217" s="6"/>
      <c r="AH217" s="6"/>
      <c r="AI217" s="6">
        <v>3</v>
      </c>
      <c r="AJ217" s="6"/>
      <c r="AK217" s="6"/>
      <c r="AL217" s="6"/>
      <c r="AM217" s="6"/>
      <c r="AN217" s="6"/>
      <c r="AO217" s="6"/>
      <c r="AP217" s="43"/>
      <c r="AQ217" s="43"/>
      <c r="AR217" s="60"/>
      <c r="AS217" s="60"/>
      <c r="AT217" s="49">
        <f t="shared" si="3"/>
        <v>17</v>
      </c>
    </row>
    <row r="218" spans="1:46" x14ac:dyDescent="0.15">
      <c r="A218" s="24" t="s">
        <v>866</v>
      </c>
      <c r="B218" s="2" t="s">
        <v>867</v>
      </c>
      <c r="C218" s="2" t="s">
        <v>868</v>
      </c>
      <c r="D218" s="2" t="s">
        <v>869</v>
      </c>
      <c r="E218" s="2" t="s">
        <v>870</v>
      </c>
      <c r="F218" s="43"/>
      <c r="G218" s="3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>
        <v>10</v>
      </c>
      <c r="Z218" s="6"/>
      <c r="AA218" s="38"/>
      <c r="AB218" s="38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43"/>
      <c r="AQ218" s="43"/>
      <c r="AR218" s="60"/>
      <c r="AS218" s="60"/>
      <c r="AT218" s="49">
        <f t="shared" si="3"/>
        <v>10</v>
      </c>
    </row>
    <row r="219" spans="1:46" s="79" customFormat="1" x14ac:dyDescent="0.15">
      <c r="A219" s="23" t="s">
        <v>264</v>
      </c>
      <c r="B219" s="11" t="s">
        <v>550</v>
      </c>
      <c r="C219" s="11" t="s">
        <v>276</v>
      </c>
      <c r="D219" s="11" t="s">
        <v>558</v>
      </c>
      <c r="E219" s="11" t="s">
        <v>660</v>
      </c>
      <c r="F219" s="44" t="s">
        <v>354</v>
      </c>
      <c r="G219" s="50"/>
      <c r="H219" s="12"/>
      <c r="I219" s="12"/>
      <c r="J219" s="12">
        <v>1</v>
      </c>
      <c r="K219" s="12">
        <v>1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>
        <v>5</v>
      </c>
      <c r="AB219" s="12"/>
      <c r="AC219" s="12"/>
      <c r="AD219" s="12"/>
      <c r="AE219" s="12"/>
      <c r="AF219" s="12">
        <v>1</v>
      </c>
      <c r="AG219" s="12"/>
      <c r="AH219" s="12"/>
      <c r="AI219" s="12"/>
      <c r="AJ219" s="12"/>
      <c r="AK219" s="12"/>
      <c r="AL219" s="12"/>
      <c r="AM219" s="12"/>
      <c r="AN219" s="12"/>
      <c r="AO219" s="12"/>
      <c r="AP219" s="44"/>
      <c r="AQ219" s="44"/>
      <c r="AR219" s="238"/>
      <c r="AS219" s="238"/>
      <c r="AT219" s="49">
        <f t="shared" si="3"/>
        <v>8</v>
      </c>
    </row>
    <row r="220" spans="1:46" s="79" customFormat="1" x14ac:dyDescent="0.15">
      <c r="A220" s="23" t="s">
        <v>56</v>
      </c>
      <c r="B220" s="14" t="s">
        <v>463</v>
      </c>
      <c r="C220" s="14" t="s">
        <v>178</v>
      </c>
      <c r="D220" s="11" t="s">
        <v>556</v>
      </c>
      <c r="E220" s="11" t="s">
        <v>725</v>
      </c>
      <c r="F220" s="44" t="s">
        <v>353</v>
      </c>
      <c r="G220" s="50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>
        <v>150</v>
      </c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44"/>
      <c r="AQ220" s="44"/>
      <c r="AR220" s="238"/>
      <c r="AS220" s="238"/>
      <c r="AT220" s="49">
        <f t="shared" si="3"/>
        <v>150</v>
      </c>
    </row>
    <row r="221" spans="1:46" s="231" customFormat="1" x14ac:dyDescent="0.15">
      <c r="A221" s="30" t="s">
        <v>1164</v>
      </c>
      <c r="B221" s="295" t="s">
        <v>1165</v>
      </c>
      <c r="C221" s="8" t="s">
        <v>1166</v>
      </c>
      <c r="D221" s="2"/>
      <c r="E221" s="71" t="s">
        <v>1167</v>
      </c>
      <c r="F221" s="43"/>
      <c r="G221" s="3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>
        <v>5</v>
      </c>
      <c r="AG221" s="6"/>
      <c r="AH221" s="6"/>
      <c r="AI221" s="6"/>
      <c r="AJ221" s="6"/>
      <c r="AK221" s="6"/>
      <c r="AL221" s="6"/>
      <c r="AM221" s="6"/>
      <c r="AN221" s="6"/>
      <c r="AO221" s="6"/>
      <c r="AP221" s="43"/>
      <c r="AQ221" s="43"/>
      <c r="AR221" s="60"/>
      <c r="AS221" s="60"/>
      <c r="AT221" s="49">
        <f t="shared" si="3"/>
        <v>5</v>
      </c>
    </row>
    <row r="222" spans="1:46" x14ac:dyDescent="0.15">
      <c r="A222" s="30" t="s">
        <v>283</v>
      </c>
      <c r="B222" s="8" t="s">
        <v>1044</v>
      </c>
      <c r="C222" s="8" t="s">
        <v>1046</v>
      </c>
      <c r="D222" s="2" t="s">
        <v>571</v>
      </c>
      <c r="E222" s="2" t="s">
        <v>726</v>
      </c>
      <c r="F222" s="43"/>
      <c r="G222" s="3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38"/>
      <c r="AB222" s="38"/>
      <c r="AC222" s="6"/>
      <c r="AD222" s="6"/>
      <c r="AE222" s="6"/>
      <c r="AF222" s="6">
        <v>2</v>
      </c>
      <c r="AG222" s="6"/>
      <c r="AH222" s="6"/>
      <c r="AI222" s="6"/>
      <c r="AJ222" s="6"/>
      <c r="AK222" s="6"/>
      <c r="AL222" s="6"/>
      <c r="AM222" s="6"/>
      <c r="AN222" s="6"/>
      <c r="AO222" s="6"/>
      <c r="AP222" s="43"/>
      <c r="AQ222" s="43"/>
      <c r="AR222" s="60"/>
      <c r="AS222" s="60"/>
      <c r="AT222" s="49">
        <f t="shared" si="3"/>
        <v>2</v>
      </c>
    </row>
    <row r="223" spans="1:46" x14ac:dyDescent="0.15">
      <c r="A223" s="24" t="s">
        <v>74</v>
      </c>
      <c r="B223" s="2" t="s">
        <v>465</v>
      </c>
      <c r="C223" s="2" t="s">
        <v>145</v>
      </c>
      <c r="D223" s="2" t="s">
        <v>614</v>
      </c>
      <c r="E223" s="2" t="s">
        <v>727</v>
      </c>
      <c r="F223" s="43"/>
      <c r="G223" s="3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38"/>
      <c r="AB223" s="38"/>
      <c r="AC223" s="6"/>
      <c r="AD223" s="6"/>
      <c r="AE223" s="6"/>
      <c r="AF223" s="6">
        <v>5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43"/>
      <c r="AQ223" s="43"/>
      <c r="AR223" s="60"/>
      <c r="AS223" s="60"/>
      <c r="AT223" s="49">
        <f t="shared" si="3"/>
        <v>5</v>
      </c>
    </row>
    <row r="224" spans="1:46" x14ac:dyDescent="0.15">
      <c r="A224" s="25" t="s">
        <v>1043</v>
      </c>
      <c r="B224" s="2" t="s">
        <v>1045</v>
      </c>
      <c r="C224" s="2" t="s">
        <v>1047</v>
      </c>
      <c r="D224" s="2" t="s">
        <v>1048</v>
      </c>
      <c r="E224" s="2" t="s">
        <v>1049</v>
      </c>
      <c r="F224" s="43"/>
      <c r="G224" s="3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38"/>
      <c r="AB224" s="38"/>
      <c r="AC224" s="6"/>
      <c r="AD224" s="6"/>
      <c r="AE224" s="6"/>
      <c r="AF224" s="6"/>
      <c r="AG224" s="6"/>
      <c r="AH224" s="6">
        <v>2</v>
      </c>
      <c r="AI224" s="6"/>
      <c r="AJ224" s="6"/>
      <c r="AK224" s="6"/>
      <c r="AL224" s="6"/>
      <c r="AM224" s="6"/>
      <c r="AN224" s="6"/>
      <c r="AO224" s="6"/>
      <c r="AP224" s="43"/>
      <c r="AQ224" s="43"/>
      <c r="AR224" s="60"/>
      <c r="AS224" s="60"/>
      <c r="AT224" s="49">
        <f t="shared" si="3"/>
        <v>2</v>
      </c>
    </row>
    <row r="225" spans="1:46" x14ac:dyDescent="0.15">
      <c r="A225" s="25" t="s">
        <v>858</v>
      </c>
      <c r="B225" s="2" t="s">
        <v>859</v>
      </c>
      <c r="C225" s="2" t="s">
        <v>860</v>
      </c>
      <c r="D225" s="2" t="s">
        <v>861</v>
      </c>
      <c r="E225" s="2" t="s">
        <v>857</v>
      </c>
      <c r="F225" s="43"/>
      <c r="G225" s="3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38"/>
      <c r="AB225" s="38"/>
      <c r="AC225" s="6">
        <v>4</v>
      </c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43"/>
      <c r="AQ225" s="43"/>
      <c r="AR225" s="60"/>
      <c r="AS225" s="60"/>
      <c r="AT225" s="49">
        <f t="shared" si="3"/>
        <v>4</v>
      </c>
    </row>
    <row r="226" spans="1:46" x14ac:dyDescent="0.15">
      <c r="A226" s="25" t="s">
        <v>1024</v>
      </c>
      <c r="B226" s="2" t="s">
        <v>1026</v>
      </c>
      <c r="C226" s="2" t="s">
        <v>1025</v>
      </c>
      <c r="D226" s="2" t="s">
        <v>1027</v>
      </c>
      <c r="E226" s="71" t="s">
        <v>1028</v>
      </c>
      <c r="F226" s="43"/>
      <c r="G226" s="3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38"/>
      <c r="AB226" s="38"/>
      <c r="AC226" s="6"/>
      <c r="AD226" s="6"/>
      <c r="AE226" s="6"/>
      <c r="AF226" s="6"/>
      <c r="AG226" s="6"/>
      <c r="AH226" s="6">
        <v>8</v>
      </c>
      <c r="AI226" s="6"/>
      <c r="AJ226" s="6"/>
      <c r="AK226" s="6"/>
      <c r="AL226" s="6"/>
      <c r="AM226" s="6"/>
      <c r="AN226" s="6"/>
      <c r="AO226" s="6"/>
      <c r="AP226" s="43"/>
      <c r="AQ226" s="43"/>
      <c r="AR226" s="60"/>
      <c r="AS226" s="60"/>
      <c r="AT226" s="49">
        <f t="shared" si="3"/>
        <v>8</v>
      </c>
    </row>
    <row r="227" spans="1:46" x14ac:dyDescent="0.15">
      <c r="A227" s="25" t="s">
        <v>830</v>
      </c>
      <c r="B227" s="2" t="s">
        <v>831</v>
      </c>
      <c r="C227" s="2" t="s">
        <v>832</v>
      </c>
      <c r="D227" s="2" t="s">
        <v>833</v>
      </c>
      <c r="E227" s="2" t="s">
        <v>690</v>
      </c>
      <c r="F227" s="43"/>
      <c r="G227" s="3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38"/>
      <c r="AB227" s="38"/>
      <c r="AC227" s="6"/>
      <c r="AD227" s="6"/>
      <c r="AE227" s="6"/>
      <c r="AF227" s="6">
        <v>2</v>
      </c>
      <c r="AG227" s="6"/>
      <c r="AH227" s="6"/>
      <c r="AI227" s="6"/>
      <c r="AJ227" s="6"/>
      <c r="AK227" s="6"/>
      <c r="AL227" s="6"/>
      <c r="AM227" s="6"/>
      <c r="AN227" s="6"/>
      <c r="AO227" s="6"/>
      <c r="AP227" s="43"/>
      <c r="AQ227" s="43"/>
      <c r="AR227" s="60"/>
      <c r="AS227" s="60"/>
      <c r="AT227" s="49">
        <f t="shared" si="3"/>
        <v>2</v>
      </c>
    </row>
    <row r="228" spans="1:46" s="79" customFormat="1" x14ac:dyDescent="0.15">
      <c r="A228" s="27" t="s">
        <v>615</v>
      </c>
      <c r="B228" s="11" t="s">
        <v>466</v>
      </c>
      <c r="C228" s="11" t="s">
        <v>616</v>
      </c>
      <c r="D228" s="11" t="s">
        <v>617</v>
      </c>
      <c r="E228" s="11" t="s">
        <v>728</v>
      </c>
      <c r="F228" s="44" t="s">
        <v>987</v>
      </c>
      <c r="G228" s="50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44"/>
      <c r="AQ228" s="44"/>
      <c r="AR228" s="238"/>
      <c r="AS228" s="238"/>
      <c r="AT228" s="49">
        <f t="shared" si="3"/>
        <v>0</v>
      </c>
    </row>
    <row r="229" spans="1:46" s="79" customFormat="1" x14ac:dyDescent="0.15">
      <c r="A229" s="27" t="s">
        <v>118</v>
      </c>
      <c r="B229" s="11" t="s">
        <v>467</v>
      </c>
      <c r="C229" s="11" t="s">
        <v>142</v>
      </c>
      <c r="D229" s="11" t="s">
        <v>590</v>
      </c>
      <c r="E229" s="11" t="s">
        <v>728</v>
      </c>
      <c r="F229" s="44" t="s">
        <v>340</v>
      </c>
      <c r="G229" s="50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>
        <v>1</v>
      </c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44"/>
      <c r="AQ229" s="44"/>
      <c r="AR229" s="238"/>
      <c r="AS229" s="238"/>
      <c r="AT229" s="49">
        <f t="shared" si="3"/>
        <v>1</v>
      </c>
    </row>
    <row r="230" spans="1:46" x14ac:dyDescent="0.15">
      <c r="A230" s="24" t="s">
        <v>551</v>
      </c>
      <c r="B230" s="2" t="s">
        <v>552</v>
      </c>
      <c r="C230" s="2" t="s">
        <v>204</v>
      </c>
      <c r="D230" s="2" t="s">
        <v>556</v>
      </c>
      <c r="E230" s="2" t="s">
        <v>661</v>
      </c>
      <c r="F230" s="43"/>
      <c r="G230" s="3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>
        <v>30</v>
      </c>
      <c r="V230" s="6">
        <v>10</v>
      </c>
      <c r="W230" s="6">
        <v>20</v>
      </c>
      <c r="X230" s="6"/>
      <c r="Y230" s="6"/>
      <c r="Z230" s="6"/>
      <c r="AA230" s="38"/>
      <c r="AB230" s="38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43"/>
      <c r="AQ230" s="43"/>
      <c r="AR230" s="60"/>
      <c r="AS230" s="60"/>
      <c r="AT230" s="49">
        <f t="shared" si="3"/>
        <v>60</v>
      </c>
    </row>
    <row r="231" spans="1:46" x14ac:dyDescent="0.15">
      <c r="A231" s="24" t="s">
        <v>1237</v>
      </c>
      <c r="B231" s="2" t="s">
        <v>1239</v>
      </c>
      <c r="C231" s="2" t="s">
        <v>1242</v>
      </c>
      <c r="D231" s="2" t="s">
        <v>1240</v>
      </c>
      <c r="E231" s="2" t="s">
        <v>1241</v>
      </c>
      <c r="F231" s="43"/>
      <c r="G231" s="3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>
        <v>10</v>
      </c>
      <c r="X231" s="6"/>
      <c r="Y231" s="6"/>
      <c r="Z231" s="6"/>
      <c r="AA231" s="38"/>
      <c r="AB231" s="38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43"/>
      <c r="AQ231" s="43"/>
      <c r="AR231" s="60"/>
      <c r="AS231" s="60"/>
      <c r="AT231" s="49">
        <f t="shared" si="3"/>
        <v>10</v>
      </c>
    </row>
    <row r="232" spans="1:46" x14ac:dyDescent="0.15">
      <c r="A232" s="24" t="s">
        <v>1017</v>
      </c>
      <c r="B232" s="2" t="s">
        <v>1018</v>
      </c>
      <c r="C232" s="2" t="s">
        <v>1020</v>
      </c>
      <c r="D232" s="2" t="s">
        <v>574</v>
      </c>
      <c r="E232" s="2" t="s">
        <v>654</v>
      </c>
      <c r="F232" s="43"/>
      <c r="G232" s="3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>
        <v>40</v>
      </c>
      <c r="X232" s="6"/>
      <c r="Y232" s="6"/>
      <c r="Z232" s="6"/>
      <c r="AA232" s="38"/>
      <c r="AB232" s="38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43"/>
      <c r="AQ232" s="43"/>
      <c r="AR232" s="60"/>
      <c r="AS232" s="60"/>
      <c r="AT232" s="49">
        <f t="shared" si="3"/>
        <v>40</v>
      </c>
    </row>
    <row r="233" spans="1:46" x14ac:dyDescent="0.15">
      <c r="A233" s="25" t="s">
        <v>275</v>
      </c>
      <c r="B233" s="25" t="s">
        <v>534</v>
      </c>
      <c r="C233" s="2" t="s">
        <v>274</v>
      </c>
      <c r="D233" s="2" t="s">
        <v>562</v>
      </c>
      <c r="E233" s="2" t="s">
        <v>730</v>
      </c>
      <c r="F233" s="43"/>
      <c r="G233" s="3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38"/>
      <c r="AB233" s="38"/>
      <c r="AC233" s="6"/>
      <c r="AD233" s="6"/>
      <c r="AE233" s="6"/>
      <c r="AF233" s="6"/>
      <c r="AG233" s="6"/>
      <c r="AH233" s="6"/>
      <c r="AI233" s="6"/>
      <c r="AJ233" s="6"/>
      <c r="AK233" s="6">
        <v>2</v>
      </c>
      <c r="AL233" s="6"/>
      <c r="AM233" s="6"/>
      <c r="AN233" s="6"/>
      <c r="AO233" s="6"/>
      <c r="AP233" s="43"/>
      <c r="AQ233" s="43">
        <v>10</v>
      </c>
      <c r="AR233" s="60"/>
      <c r="AS233" s="60"/>
      <c r="AT233" s="49">
        <f t="shared" si="3"/>
        <v>12</v>
      </c>
    </row>
    <row r="234" spans="1:46" x14ac:dyDescent="0.15">
      <c r="A234" s="25" t="s">
        <v>98</v>
      </c>
      <c r="B234" s="25" t="s">
        <v>809</v>
      </c>
      <c r="C234" s="3" t="s">
        <v>205</v>
      </c>
      <c r="D234" s="2" t="s">
        <v>554</v>
      </c>
      <c r="E234" s="2" t="s">
        <v>731</v>
      </c>
      <c r="F234" s="43"/>
      <c r="G234" s="3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38"/>
      <c r="AB234" s="38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43"/>
      <c r="AQ234" s="43"/>
      <c r="AR234" s="60"/>
      <c r="AS234" s="60"/>
      <c r="AT234" s="49">
        <f t="shared" si="3"/>
        <v>0</v>
      </c>
    </row>
    <row r="235" spans="1:46" x14ac:dyDescent="0.15">
      <c r="A235" s="25" t="s">
        <v>808</v>
      </c>
      <c r="B235" s="2" t="s">
        <v>810</v>
      </c>
      <c r="C235" s="3" t="s">
        <v>771</v>
      </c>
      <c r="D235" s="2" t="s">
        <v>773</v>
      </c>
      <c r="E235" s="2" t="s">
        <v>772</v>
      </c>
      <c r="F235" s="43"/>
      <c r="G235" s="3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>
        <v>10</v>
      </c>
      <c r="Z235" s="6"/>
      <c r="AA235" s="38"/>
      <c r="AB235" s="38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43"/>
      <c r="AQ235" s="43"/>
      <c r="AR235" s="60"/>
      <c r="AS235" s="60"/>
      <c r="AT235" s="49">
        <f t="shared" si="3"/>
        <v>10</v>
      </c>
    </row>
    <row r="236" spans="1:46" x14ac:dyDescent="0.15">
      <c r="A236" s="25" t="s">
        <v>235</v>
      </c>
      <c r="B236" s="2" t="s">
        <v>535</v>
      </c>
      <c r="C236" s="2" t="s">
        <v>236</v>
      </c>
      <c r="D236" s="2" t="s">
        <v>573</v>
      </c>
      <c r="E236" s="2" t="s">
        <v>732</v>
      </c>
      <c r="F236" s="43"/>
      <c r="G236" s="32">
        <v>2</v>
      </c>
      <c r="H236" s="6">
        <v>1</v>
      </c>
      <c r="I236" s="6">
        <v>1</v>
      </c>
      <c r="J236" s="6"/>
      <c r="K236" s="6"/>
      <c r="L236" s="6"/>
      <c r="M236" s="6">
        <v>1</v>
      </c>
      <c r="N236" s="6"/>
      <c r="O236" s="6">
        <v>2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38">
        <v>1</v>
      </c>
      <c r="AB236" s="38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43"/>
      <c r="AQ236" s="43"/>
      <c r="AR236" s="60"/>
      <c r="AS236" s="60"/>
      <c r="AT236" s="49">
        <f t="shared" si="3"/>
        <v>8</v>
      </c>
    </row>
    <row r="237" spans="1:46" x14ac:dyDescent="0.15">
      <c r="A237" s="25" t="s">
        <v>834</v>
      </c>
      <c r="B237" s="2" t="s">
        <v>1080</v>
      </c>
      <c r="C237" s="2" t="s">
        <v>835</v>
      </c>
      <c r="D237" s="2" t="s">
        <v>571</v>
      </c>
      <c r="E237" s="2" t="s">
        <v>733</v>
      </c>
      <c r="F237" s="43"/>
      <c r="G237" s="3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38">
        <v>5</v>
      </c>
      <c r="AB237" s="38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43"/>
      <c r="AQ237" s="43"/>
      <c r="AR237" s="60"/>
      <c r="AS237" s="60"/>
      <c r="AT237" s="49">
        <f t="shared" si="3"/>
        <v>5</v>
      </c>
    </row>
    <row r="238" spans="1:46" x14ac:dyDescent="0.15">
      <c r="A238" s="25" t="s">
        <v>1387</v>
      </c>
      <c r="B238" s="2"/>
      <c r="C238" s="2" t="s">
        <v>1388</v>
      </c>
      <c r="D238" s="2"/>
      <c r="E238" s="2" t="s">
        <v>1389</v>
      </c>
      <c r="F238" s="43"/>
      <c r="G238" s="3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38"/>
      <c r="AB238" s="38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43"/>
      <c r="AQ238" s="43">
        <v>30</v>
      </c>
      <c r="AR238" s="60"/>
      <c r="AS238" s="60"/>
      <c r="AT238" s="49">
        <f t="shared" si="3"/>
        <v>30</v>
      </c>
    </row>
    <row r="239" spans="1:46" x14ac:dyDescent="0.15">
      <c r="A239" s="25" t="s">
        <v>279</v>
      </c>
      <c r="B239" s="2" t="s">
        <v>537</v>
      </c>
      <c r="C239" s="2" t="s">
        <v>280</v>
      </c>
      <c r="D239" s="2" t="s">
        <v>582</v>
      </c>
      <c r="E239" s="2" t="s">
        <v>734</v>
      </c>
      <c r="F239" s="43"/>
      <c r="G239" s="3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38"/>
      <c r="AB239" s="38"/>
      <c r="AC239" s="6"/>
      <c r="AD239" s="6"/>
      <c r="AE239" s="6"/>
      <c r="AF239" s="6"/>
      <c r="AG239" s="6"/>
      <c r="AH239" s="6">
        <v>3</v>
      </c>
      <c r="AI239" s="6"/>
      <c r="AJ239" s="6"/>
      <c r="AK239" s="6"/>
      <c r="AL239" s="6"/>
      <c r="AM239" s="6"/>
      <c r="AN239" s="6"/>
      <c r="AO239" s="6"/>
      <c r="AP239" s="43"/>
      <c r="AQ239" s="43"/>
      <c r="AR239" s="60"/>
      <c r="AS239" s="60"/>
      <c r="AT239" s="49">
        <f t="shared" si="3"/>
        <v>3</v>
      </c>
    </row>
    <row r="240" spans="1:46" x14ac:dyDescent="0.15">
      <c r="A240" s="24" t="s">
        <v>41</v>
      </c>
      <c r="B240" s="2" t="s">
        <v>468</v>
      </c>
      <c r="C240" s="2" t="s">
        <v>179</v>
      </c>
      <c r="D240" s="2" t="s">
        <v>556</v>
      </c>
      <c r="E240" s="2" t="s">
        <v>735</v>
      </c>
      <c r="F240" s="43"/>
      <c r="G240" s="3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38"/>
      <c r="AB240" s="38"/>
      <c r="AC240" s="6"/>
      <c r="AD240" s="6"/>
      <c r="AE240" s="6"/>
      <c r="AF240" s="6"/>
      <c r="AG240" s="6"/>
      <c r="AH240" s="6">
        <v>4</v>
      </c>
      <c r="AI240" s="6"/>
      <c r="AJ240" s="6"/>
      <c r="AK240" s="6"/>
      <c r="AL240" s="6"/>
      <c r="AM240" s="6"/>
      <c r="AN240" s="6"/>
      <c r="AO240" s="6"/>
      <c r="AP240" s="43"/>
      <c r="AQ240" s="43"/>
      <c r="AR240" s="60"/>
      <c r="AS240" s="60"/>
      <c r="AT240" s="49">
        <f t="shared" si="3"/>
        <v>4</v>
      </c>
    </row>
    <row r="241" spans="1:46" x14ac:dyDescent="0.15">
      <c r="A241" s="24" t="s">
        <v>112</v>
      </c>
      <c r="B241" s="7" t="s">
        <v>469</v>
      </c>
      <c r="C241" s="7" t="s">
        <v>113</v>
      </c>
      <c r="D241" s="7" t="s">
        <v>565</v>
      </c>
      <c r="E241" s="7" t="s">
        <v>736</v>
      </c>
      <c r="F241" s="43"/>
      <c r="G241" s="3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>
        <v>10</v>
      </c>
      <c r="Z241" s="6"/>
      <c r="AA241" s="38"/>
      <c r="AB241" s="38"/>
      <c r="AC241" s="6"/>
      <c r="AD241" s="6"/>
      <c r="AE241" s="6"/>
      <c r="AF241" s="6"/>
      <c r="AG241" s="6"/>
      <c r="AH241" s="6"/>
      <c r="AI241" s="6">
        <v>1</v>
      </c>
      <c r="AJ241" s="6"/>
      <c r="AK241" s="6"/>
      <c r="AL241" s="6"/>
      <c r="AM241" s="6"/>
      <c r="AN241" s="6"/>
      <c r="AO241" s="6"/>
      <c r="AP241" s="43"/>
      <c r="AQ241" s="43"/>
      <c r="AR241" s="60"/>
      <c r="AS241" s="60"/>
      <c r="AT241" s="49">
        <f t="shared" si="3"/>
        <v>11</v>
      </c>
    </row>
    <row r="242" spans="1:46" x14ac:dyDescent="0.15">
      <c r="A242" s="24" t="s">
        <v>1256</v>
      </c>
      <c r="B242" s="7"/>
      <c r="C242" s="7" t="s">
        <v>1257</v>
      </c>
      <c r="D242" s="7"/>
      <c r="E242" s="7" t="s">
        <v>1255</v>
      </c>
      <c r="F242" s="43"/>
      <c r="G242" s="3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>
        <v>2</v>
      </c>
      <c r="AA242" s="38"/>
      <c r="AB242" s="38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43"/>
      <c r="AQ242" s="43"/>
      <c r="AR242" s="60"/>
      <c r="AS242" s="60"/>
      <c r="AT242" s="49">
        <f t="shared" si="3"/>
        <v>2</v>
      </c>
    </row>
    <row r="243" spans="1:46" x14ac:dyDescent="0.15">
      <c r="A243" s="24" t="s">
        <v>16</v>
      </c>
      <c r="B243" s="2" t="s">
        <v>470</v>
      </c>
      <c r="C243" s="2" t="s">
        <v>214</v>
      </c>
      <c r="D243" s="2" t="s">
        <v>563</v>
      </c>
      <c r="E243" s="2" t="s">
        <v>737</v>
      </c>
      <c r="F243" s="43"/>
      <c r="G243" s="3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>
        <v>4</v>
      </c>
      <c r="Y243" s="6"/>
      <c r="Z243" s="6"/>
      <c r="AA243" s="38"/>
      <c r="AB243" s="38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43"/>
      <c r="AQ243" s="43"/>
      <c r="AR243" s="60"/>
      <c r="AS243" s="60"/>
      <c r="AT243" s="49">
        <f t="shared" si="3"/>
        <v>4</v>
      </c>
    </row>
    <row r="244" spans="1:46" x14ac:dyDescent="0.15">
      <c r="A244" s="24" t="s">
        <v>15</v>
      </c>
      <c r="B244" s="2" t="s">
        <v>471</v>
      </c>
      <c r="C244" s="2" t="s">
        <v>215</v>
      </c>
      <c r="D244" s="2" t="s">
        <v>573</v>
      </c>
      <c r="E244" s="2" t="s">
        <v>737</v>
      </c>
      <c r="F244" s="43"/>
      <c r="G244" s="3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>
        <v>2</v>
      </c>
      <c r="Y244" s="6"/>
      <c r="Z244" s="6"/>
      <c r="AA244" s="38"/>
      <c r="AB244" s="38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43"/>
      <c r="AQ244" s="43"/>
      <c r="AR244" s="60"/>
      <c r="AS244" s="60"/>
      <c r="AT244" s="49">
        <f t="shared" si="3"/>
        <v>2</v>
      </c>
    </row>
    <row r="245" spans="1:46" x14ac:dyDescent="0.15">
      <c r="A245" s="24" t="s">
        <v>880</v>
      </c>
      <c r="B245" s="2" t="s">
        <v>881</v>
      </c>
      <c r="C245" s="2" t="s">
        <v>882</v>
      </c>
      <c r="D245" s="2" t="s">
        <v>883</v>
      </c>
      <c r="E245" s="2" t="s">
        <v>884</v>
      </c>
      <c r="F245" s="43"/>
      <c r="G245" s="3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>
        <v>3</v>
      </c>
      <c r="W245" s="6">
        <v>5</v>
      </c>
      <c r="X245" s="6"/>
      <c r="Y245" s="6"/>
      <c r="Z245" s="6"/>
      <c r="AA245" s="38"/>
      <c r="AB245" s="38"/>
      <c r="AC245" s="6"/>
      <c r="AD245" s="6"/>
      <c r="AE245" s="6"/>
      <c r="AF245" s="6"/>
      <c r="AG245" s="6"/>
      <c r="AH245" s="6">
        <v>2</v>
      </c>
      <c r="AI245" s="6"/>
      <c r="AJ245" s="6"/>
      <c r="AK245" s="6"/>
      <c r="AL245" s="6"/>
      <c r="AM245" s="6"/>
      <c r="AN245" s="6"/>
      <c r="AO245" s="6"/>
      <c r="AP245" s="43"/>
      <c r="AQ245" s="43"/>
      <c r="AR245" s="60"/>
      <c r="AS245" s="60"/>
      <c r="AT245" s="49">
        <f t="shared" si="3"/>
        <v>10</v>
      </c>
    </row>
    <row r="246" spans="1:46" x14ac:dyDescent="0.15">
      <c r="A246" s="31" t="s">
        <v>961</v>
      </c>
      <c r="B246" s="2" t="s">
        <v>553</v>
      </c>
      <c r="C246" s="2" t="s">
        <v>962</v>
      </c>
      <c r="D246" s="2" t="s">
        <v>619</v>
      </c>
      <c r="E246" s="2" t="s">
        <v>738</v>
      </c>
      <c r="F246" s="43"/>
      <c r="G246" s="32"/>
      <c r="H246" s="6"/>
      <c r="I246" s="6"/>
      <c r="J246" s="6"/>
      <c r="K246" s="6"/>
      <c r="L246" s="6">
        <v>4</v>
      </c>
      <c r="M246" s="6"/>
      <c r="N246" s="6"/>
      <c r="O246" s="6"/>
      <c r="P246" s="6">
        <v>3</v>
      </c>
      <c r="Q246" s="6"/>
      <c r="R246" s="6"/>
      <c r="S246" s="6">
        <v>3</v>
      </c>
      <c r="T246" s="6"/>
      <c r="U246" s="6"/>
      <c r="V246" s="6"/>
      <c r="W246" s="6"/>
      <c r="X246" s="6"/>
      <c r="Y246" s="6"/>
      <c r="Z246" s="6"/>
      <c r="AA246" s="38"/>
      <c r="AB246" s="38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43"/>
      <c r="AQ246" s="43"/>
      <c r="AR246" s="60"/>
      <c r="AS246" s="60"/>
      <c r="AT246" s="49">
        <f t="shared" si="3"/>
        <v>10</v>
      </c>
    </row>
    <row r="247" spans="1:46" x14ac:dyDescent="0.15">
      <c r="A247" s="24" t="s">
        <v>34</v>
      </c>
      <c r="B247" s="2" t="s">
        <v>472</v>
      </c>
      <c r="C247" s="2" t="s">
        <v>81</v>
      </c>
      <c r="D247" s="2" t="s">
        <v>618</v>
      </c>
      <c r="E247" s="2" t="s">
        <v>757</v>
      </c>
      <c r="F247" s="43"/>
      <c r="G247" s="3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38"/>
      <c r="AB247" s="38"/>
      <c r="AC247" s="6"/>
      <c r="AD247" s="6"/>
      <c r="AE247" s="6"/>
      <c r="AF247" s="6"/>
      <c r="AG247" s="6"/>
      <c r="AH247" s="6"/>
      <c r="AI247" s="6"/>
      <c r="AJ247" s="6">
        <v>2</v>
      </c>
      <c r="AK247" s="6"/>
      <c r="AL247" s="6"/>
      <c r="AM247" s="6"/>
      <c r="AN247" s="6">
        <v>3</v>
      </c>
      <c r="AO247" s="6"/>
      <c r="AP247" s="43"/>
      <c r="AQ247" s="43"/>
      <c r="AR247" s="60"/>
      <c r="AS247" s="60"/>
      <c r="AT247" s="49">
        <f t="shared" si="3"/>
        <v>5</v>
      </c>
    </row>
    <row r="248" spans="1:46" x14ac:dyDescent="0.15">
      <c r="A248" s="24" t="s">
        <v>1319</v>
      </c>
      <c r="B248" s="2" t="s">
        <v>473</v>
      </c>
      <c r="C248" s="2" t="s">
        <v>1318</v>
      </c>
      <c r="D248" s="2" t="s">
        <v>554</v>
      </c>
      <c r="E248" s="2" t="s">
        <v>651</v>
      </c>
      <c r="F248" s="43"/>
      <c r="G248" s="3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>
        <v>3</v>
      </c>
      <c r="Y248" s="6"/>
      <c r="Z248" s="6"/>
      <c r="AA248" s="38"/>
      <c r="AB248" s="38"/>
      <c r="AC248" s="6"/>
      <c r="AD248" s="6"/>
      <c r="AE248" s="6"/>
      <c r="AF248" s="6"/>
      <c r="AG248" s="6"/>
      <c r="AH248" s="6">
        <v>3</v>
      </c>
      <c r="AI248" s="6"/>
      <c r="AJ248" s="6"/>
      <c r="AK248" s="6"/>
      <c r="AL248" s="6"/>
      <c r="AM248" s="6"/>
      <c r="AN248" s="6"/>
      <c r="AO248" s="6"/>
      <c r="AP248" s="43"/>
      <c r="AQ248" s="43"/>
      <c r="AR248" s="60"/>
      <c r="AS248" s="60"/>
      <c r="AT248" s="49">
        <f t="shared" si="3"/>
        <v>6</v>
      </c>
    </row>
    <row r="249" spans="1:46" x14ac:dyDescent="0.15">
      <c r="A249" s="24" t="s">
        <v>1299</v>
      </c>
      <c r="B249" s="2" t="s">
        <v>474</v>
      </c>
      <c r="C249" s="2" t="s">
        <v>1300</v>
      </c>
      <c r="D249" s="2" t="s">
        <v>554</v>
      </c>
      <c r="E249" s="2" t="s">
        <v>639</v>
      </c>
      <c r="F249" s="43"/>
      <c r="G249" s="32"/>
      <c r="H249" s="6"/>
      <c r="I249" s="6"/>
      <c r="J249" s="6"/>
      <c r="K249" s="6"/>
      <c r="L249" s="6"/>
      <c r="M249" s="6"/>
      <c r="N249" s="6"/>
      <c r="O249" s="3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38"/>
      <c r="AB249" s="38"/>
      <c r="AC249" s="6"/>
      <c r="AD249" s="6"/>
      <c r="AE249" s="6"/>
      <c r="AF249" s="6"/>
      <c r="AG249" s="6"/>
      <c r="AH249" s="6">
        <v>2</v>
      </c>
      <c r="AI249" s="6"/>
      <c r="AJ249" s="6"/>
      <c r="AK249" s="6"/>
      <c r="AL249" s="6"/>
      <c r="AM249" s="6"/>
      <c r="AN249" s="6"/>
      <c r="AO249" s="6"/>
      <c r="AP249" s="43"/>
      <c r="AQ249" s="43"/>
      <c r="AR249" s="60"/>
      <c r="AS249" s="60"/>
      <c r="AT249" s="49">
        <f t="shared" si="3"/>
        <v>2</v>
      </c>
    </row>
    <row r="250" spans="1:46" x14ac:dyDescent="0.15">
      <c r="A250" s="24" t="s">
        <v>1258</v>
      </c>
      <c r="B250" s="2"/>
      <c r="C250" s="2" t="s">
        <v>1259</v>
      </c>
      <c r="D250" s="2"/>
      <c r="E250" s="2" t="s">
        <v>1260</v>
      </c>
      <c r="F250" s="43"/>
      <c r="G250" s="3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38"/>
      <c r="AB250" s="38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43"/>
      <c r="AQ250" s="43"/>
      <c r="AR250" s="60"/>
      <c r="AS250" s="60"/>
      <c r="AT250" s="49">
        <f t="shared" si="3"/>
        <v>0</v>
      </c>
    </row>
    <row r="251" spans="1:46" x14ac:dyDescent="0.15">
      <c r="A251" s="24" t="s">
        <v>1364</v>
      </c>
      <c r="B251" s="2"/>
      <c r="C251" s="2" t="s">
        <v>1365</v>
      </c>
      <c r="D251" s="2"/>
      <c r="E251" s="2" t="s">
        <v>1260</v>
      </c>
      <c r="F251" s="43"/>
      <c r="G251" s="3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38">
        <v>1</v>
      </c>
      <c r="AB251" s="38"/>
      <c r="AC251" s="6"/>
      <c r="AD251" s="6"/>
      <c r="AE251" s="6"/>
      <c r="AF251" s="6"/>
      <c r="AG251" s="6"/>
      <c r="AH251" s="6">
        <v>2</v>
      </c>
      <c r="AI251" s="6"/>
      <c r="AJ251" s="6"/>
      <c r="AK251" s="6"/>
      <c r="AL251" s="6"/>
      <c r="AM251" s="6"/>
      <c r="AN251" s="6"/>
      <c r="AO251" s="6"/>
      <c r="AP251" s="43"/>
      <c r="AQ251" s="43"/>
      <c r="AR251" s="60"/>
      <c r="AS251" s="60"/>
      <c r="AT251" s="49">
        <f t="shared" si="3"/>
        <v>3</v>
      </c>
    </row>
    <row r="252" spans="1:46" x14ac:dyDescent="0.15">
      <c r="A252" s="24" t="s">
        <v>43</v>
      </c>
      <c r="B252" s="7" t="s">
        <v>476</v>
      </c>
      <c r="C252" s="7" t="s">
        <v>140</v>
      </c>
      <c r="D252" s="7" t="s">
        <v>556</v>
      </c>
      <c r="E252" s="7" t="s">
        <v>639</v>
      </c>
      <c r="F252" s="43"/>
      <c r="G252" s="3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38"/>
      <c r="AB252" s="38"/>
      <c r="AC252" s="6">
        <v>2</v>
      </c>
      <c r="AD252" s="6"/>
      <c r="AE252" s="6"/>
      <c r="AF252" s="6"/>
      <c r="AG252" s="6"/>
      <c r="AH252" s="6">
        <v>2</v>
      </c>
      <c r="AI252" s="6"/>
      <c r="AJ252" s="6"/>
      <c r="AK252" s="6"/>
      <c r="AL252" s="6"/>
      <c r="AM252" s="6"/>
      <c r="AN252" s="6"/>
      <c r="AO252" s="6"/>
      <c r="AP252" s="43"/>
      <c r="AQ252" s="43"/>
      <c r="AR252" s="60"/>
      <c r="AS252" s="60"/>
      <c r="AT252" s="49">
        <f t="shared" si="3"/>
        <v>4</v>
      </c>
    </row>
    <row r="253" spans="1:46" x14ac:dyDescent="0.15">
      <c r="A253" s="24" t="s">
        <v>27</v>
      </c>
      <c r="B253" s="7" t="s">
        <v>475</v>
      </c>
      <c r="C253" s="7" t="s">
        <v>886</v>
      </c>
      <c r="D253" s="7" t="s">
        <v>556</v>
      </c>
      <c r="E253" s="7" t="s">
        <v>888</v>
      </c>
      <c r="F253" s="43"/>
      <c r="G253" s="32">
        <v>6</v>
      </c>
      <c r="H253" s="6">
        <v>3</v>
      </c>
      <c r="I253" s="6">
        <v>5</v>
      </c>
      <c r="J253" s="6">
        <v>5</v>
      </c>
      <c r="K253" s="6">
        <v>5</v>
      </c>
      <c r="L253" s="6">
        <v>6</v>
      </c>
      <c r="M253" s="6">
        <v>3</v>
      </c>
      <c r="N253" s="6"/>
      <c r="O253" s="6">
        <v>5</v>
      </c>
      <c r="P253" s="6">
        <v>3</v>
      </c>
      <c r="Q253" s="6">
        <v>3</v>
      </c>
      <c r="R253" s="6">
        <v>2</v>
      </c>
      <c r="S253" s="6">
        <v>5</v>
      </c>
      <c r="T253" s="6"/>
      <c r="U253" s="6">
        <v>5</v>
      </c>
      <c r="V253" s="6">
        <v>3</v>
      </c>
      <c r="W253" s="6"/>
      <c r="X253" s="6"/>
      <c r="Y253" s="6"/>
      <c r="Z253" s="6"/>
      <c r="AA253" s="38">
        <v>10</v>
      </c>
      <c r="AB253" s="38"/>
      <c r="AC253" s="6"/>
      <c r="AD253" s="6">
        <v>10</v>
      </c>
      <c r="AE253" s="6"/>
      <c r="AF253" s="6"/>
      <c r="AG253" s="6"/>
      <c r="AH253" s="6">
        <v>5</v>
      </c>
      <c r="AI253" s="6">
        <v>5</v>
      </c>
      <c r="AJ253" s="6"/>
      <c r="AK253" s="6"/>
      <c r="AL253" s="6"/>
      <c r="AM253" s="6"/>
      <c r="AN253" s="6"/>
      <c r="AO253" s="6"/>
      <c r="AP253" s="43"/>
      <c r="AQ253" s="43"/>
      <c r="AR253" s="60"/>
      <c r="AS253" s="60"/>
      <c r="AT253" s="49">
        <f t="shared" ref="AT253:AT273" si="4">SUM(G253:AS253)</f>
        <v>89</v>
      </c>
    </row>
    <row r="254" spans="1:46" x14ac:dyDescent="0.15">
      <c r="A254" s="25" t="s">
        <v>96</v>
      </c>
      <c r="B254" s="2" t="s">
        <v>477</v>
      </c>
      <c r="C254" s="2" t="s">
        <v>139</v>
      </c>
      <c r="D254" s="2" t="s">
        <v>559</v>
      </c>
      <c r="E254" s="2" t="s">
        <v>644</v>
      </c>
      <c r="F254" s="43"/>
      <c r="G254" s="3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>
        <v>2</v>
      </c>
      <c r="V254" s="6">
        <v>6</v>
      </c>
      <c r="W254" s="6"/>
      <c r="X254" s="6"/>
      <c r="Y254" s="6"/>
      <c r="Z254" s="6"/>
      <c r="AA254" s="38"/>
      <c r="AB254" s="38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43"/>
      <c r="AQ254" s="43"/>
      <c r="AR254" s="60"/>
      <c r="AS254" s="60"/>
      <c r="AT254" s="49">
        <f t="shared" si="4"/>
        <v>8</v>
      </c>
    </row>
    <row r="255" spans="1:46" x14ac:dyDescent="0.15">
      <c r="A255" s="24" t="s">
        <v>42</v>
      </c>
      <c r="B255" s="2" t="s">
        <v>538</v>
      </c>
      <c r="C255" s="2" t="s">
        <v>271</v>
      </c>
      <c r="D255" s="2" t="s">
        <v>554</v>
      </c>
      <c r="E255" s="2" t="s">
        <v>758</v>
      </c>
      <c r="F255" s="43"/>
      <c r="G255" s="3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38"/>
      <c r="AB255" s="38"/>
      <c r="AC255" s="6"/>
      <c r="AD255" s="6"/>
      <c r="AE255" s="6"/>
      <c r="AF255" s="6">
        <v>1</v>
      </c>
      <c r="AG255" s="6"/>
      <c r="AH255" s="6"/>
      <c r="AI255" s="6"/>
      <c r="AJ255" s="6"/>
      <c r="AK255" s="6"/>
      <c r="AL255" s="6"/>
      <c r="AM255" s="6"/>
      <c r="AN255" s="6"/>
      <c r="AO255" s="6"/>
      <c r="AP255" s="43"/>
      <c r="AQ255" s="43"/>
      <c r="AR255" s="60"/>
      <c r="AS255" s="60"/>
      <c r="AT255" s="49">
        <f t="shared" si="4"/>
        <v>1</v>
      </c>
    </row>
    <row r="256" spans="1:46" x14ac:dyDescent="0.15">
      <c r="A256" s="24" t="s">
        <v>1067</v>
      </c>
      <c r="B256" s="2" t="s">
        <v>1068</v>
      </c>
      <c r="C256" s="2" t="s">
        <v>1069</v>
      </c>
      <c r="D256" s="2" t="s">
        <v>554</v>
      </c>
      <c r="E256" s="2" t="s">
        <v>1070</v>
      </c>
      <c r="F256" s="43"/>
      <c r="G256" s="3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38"/>
      <c r="AB256" s="38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43"/>
      <c r="AQ256" s="43"/>
      <c r="AR256" s="60"/>
      <c r="AS256" s="60"/>
      <c r="AT256" s="49">
        <f t="shared" si="4"/>
        <v>0</v>
      </c>
    </row>
    <row r="257" spans="1:46" x14ac:dyDescent="0.15">
      <c r="A257" s="24" t="s">
        <v>998</v>
      </c>
      <c r="B257" s="2" t="s">
        <v>999</v>
      </c>
      <c r="C257" s="2" t="s">
        <v>999</v>
      </c>
      <c r="D257" s="2" t="s">
        <v>948</v>
      </c>
      <c r="E257" s="2" t="s">
        <v>1071</v>
      </c>
      <c r="F257" s="43"/>
      <c r="G257" s="3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>
        <v>20</v>
      </c>
      <c r="Z257" s="6"/>
      <c r="AA257" s="38"/>
      <c r="AB257" s="38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43"/>
      <c r="AQ257" s="43"/>
      <c r="AR257" s="60"/>
      <c r="AS257" s="60">
        <v>15</v>
      </c>
      <c r="AT257" s="49">
        <f t="shared" si="4"/>
        <v>35</v>
      </c>
    </row>
    <row r="258" spans="1:46" x14ac:dyDescent="0.15">
      <c r="A258" s="24" t="s">
        <v>59</v>
      </c>
      <c r="B258" s="2" t="s">
        <v>478</v>
      </c>
      <c r="C258" s="2" t="s">
        <v>143</v>
      </c>
      <c r="D258" s="2" t="s">
        <v>561</v>
      </c>
      <c r="E258" s="2" t="s">
        <v>1072</v>
      </c>
      <c r="F258" s="43"/>
      <c r="G258" s="3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>
        <v>10</v>
      </c>
      <c r="X258" s="6"/>
      <c r="Y258" s="6"/>
      <c r="Z258" s="6"/>
      <c r="AA258" s="38"/>
      <c r="AB258" s="38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43"/>
      <c r="AQ258" s="43"/>
      <c r="AR258" s="60"/>
      <c r="AS258" s="60"/>
      <c r="AT258" s="49">
        <f t="shared" si="4"/>
        <v>10</v>
      </c>
    </row>
    <row r="259" spans="1:46" x14ac:dyDescent="0.15">
      <c r="A259" s="25" t="s">
        <v>327</v>
      </c>
      <c r="B259" s="2" t="s">
        <v>539</v>
      </c>
      <c r="C259" s="2" t="s">
        <v>325</v>
      </c>
      <c r="D259" s="2" t="s">
        <v>620</v>
      </c>
      <c r="E259" s="2" t="s">
        <v>732</v>
      </c>
      <c r="F259" s="43"/>
      <c r="G259" s="3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>
        <v>10</v>
      </c>
      <c r="Z259" s="6"/>
      <c r="AA259" s="38"/>
      <c r="AB259" s="38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43"/>
      <c r="AQ259" s="43"/>
      <c r="AR259" s="60"/>
      <c r="AS259" s="60"/>
      <c r="AT259" s="49">
        <f t="shared" si="4"/>
        <v>10</v>
      </c>
    </row>
    <row r="260" spans="1:46" x14ac:dyDescent="0.15">
      <c r="A260" s="25" t="s">
        <v>844</v>
      </c>
      <c r="B260" s="2" t="s">
        <v>479</v>
      </c>
      <c r="C260" s="2" t="s">
        <v>338</v>
      </c>
      <c r="D260" s="2" t="s">
        <v>554</v>
      </c>
      <c r="E260" s="2" t="s">
        <v>759</v>
      </c>
      <c r="F260" s="43"/>
      <c r="G260" s="3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>
        <v>5</v>
      </c>
      <c r="Z260" s="6"/>
      <c r="AA260" s="38"/>
      <c r="AB260" s="38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43"/>
      <c r="AQ260" s="43"/>
      <c r="AR260" s="60"/>
      <c r="AS260" s="60"/>
      <c r="AT260" s="49">
        <f t="shared" si="4"/>
        <v>5</v>
      </c>
    </row>
    <row r="261" spans="1:46" x14ac:dyDescent="0.15">
      <c r="A261" s="41" t="s">
        <v>828</v>
      </c>
      <c r="B261" s="2" t="s">
        <v>816</v>
      </c>
      <c r="C261" s="2" t="s">
        <v>829</v>
      </c>
      <c r="D261" s="42" t="s">
        <v>799</v>
      </c>
      <c r="E261" s="2" t="s">
        <v>815</v>
      </c>
      <c r="F261" s="68"/>
      <c r="G261" s="6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38"/>
      <c r="AB261" s="38"/>
      <c r="AC261" s="6"/>
      <c r="AD261" s="6"/>
      <c r="AE261" s="6"/>
      <c r="AF261" s="6">
        <v>2</v>
      </c>
      <c r="AG261" s="6"/>
      <c r="AH261" s="6"/>
      <c r="AI261" s="6"/>
      <c r="AJ261" s="6"/>
      <c r="AK261" s="6"/>
      <c r="AL261" s="6"/>
      <c r="AM261" s="6"/>
      <c r="AN261" s="6"/>
      <c r="AO261" s="6"/>
      <c r="AP261" s="43"/>
      <c r="AQ261" s="43"/>
      <c r="AR261" s="60"/>
      <c r="AS261" s="60"/>
      <c r="AT261" s="49">
        <f t="shared" si="4"/>
        <v>2</v>
      </c>
    </row>
    <row r="262" spans="1:46" x14ac:dyDescent="0.15">
      <c r="A262" s="24" t="s">
        <v>44</v>
      </c>
      <c r="B262" s="2" t="s">
        <v>480</v>
      </c>
      <c r="C262" s="2" t="s">
        <v>216</v>
      </c>
      <c r="D262" s="2" t="s">
        <v>561</v>
      </c>
      <c r="E262" s="2" t="s">
        <v>739</v>
      </c>
      <c r="F262" s="43"/>
      <c r="G262" s="3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>
        <v>5</v>
      </c>
      <c r="V262" s="6">
        <v>5</v>
      </c>
      <c r="W262" s="6">
        <v>2</v>
      </c>
      <c r="X262" s="6"/>
      <c r="Y262" s="6"/>
      <c r="Z262" s="6"/>
      <c r="AA262" s="38">
        <v>2</v>
      </c>
      <c r="AB262" s="38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43"/>
      <c r="AQ262" s="43"/>
      <c r="AR262" s="60"/>
      <c r="AS262" s="60"/>
      <c r="AT262" s="49">
        <f t="shared" si="4"/>
        <v>14</v>
      </c>
    </row>
    <row r="263" spans="1:46" x14ac:dyDescent="0.15">
      <c r="A263" s="24" t="s">
        <v>1149</v>
      </c>
      <c r="B263" s="2"/>
      <c r="C263" s="2" t="s">
        <v>1150</v>
      </c>
      <c r="D263" s="2"/>
      <c r="E263" s="2" t="s">
        <v>1151</v>
      </c>
      <c r="F263" s="43"/>
      <c r="G263" s="3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38"/>
      <c r="AB263" s="38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43"/>
      <c r="AQ263" s="43"/>
      <c r="AR263" s="60"/>
      <c r="AS263" s="60"/>
      <c r="AT263" s="49">
        <f t="shared" si="4"/>
        <v>0</v>
      </c>
    </row>
    <row r="264" spans="1:46" x14ac:dyDescent="0.15">
      <c r="A264" s="25" t="s">
        <v>268</v>
      </c>
      <c r="B264" s="2" t="s">
        <v>541</v>
      </c>
      <c r="C264" s="2" t="s">
        <v>262</v>
      </c>
      <c r="D264" s="2" t="s">
        <v>573</v>
      </c>
      <c r="E264" s="2" t="s">
        <v>741</v>
      </c>
      <c r="F264" s="43"/>
      <c r="G264" s="3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>
        <v>5</v>
      </c>
      <c r="V264" s="6"/>
      <c r="W264" s="6">
        <v>30</v>
      </c>
      <c r="X264" s="6"/>
      <c r="Y264" s="6"/>
      <c r="Z264" s="6"/>
      <c r="AA264" s="38"/>
      <c r="AB264" s="38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43"/>
      <c r="AQ264" s="43"/>
      <c r="AR264" s="60"/>
      <c r="AS264" s="60"/>
      <c r="AT264" s="49">
        <f t="shared" si="4"/>
        <v>35</v>
      </c>
    </row>
    <row r="265" spans="1:46" x14ac:dyDescent="0.15">
      <c r="A265" s="24" t="s">
        <v>45</v>
      </c>
      <c r="B265" s="2" t="s">
        <v>481</v>
      </c>
      <c r="C265" s="2" t="s">
        <v>180</v>
      </c>
      <c r="D265" s="2" t="s">
        <v>559</v>
      </c>
      <c r="E265" s="2" t="s">
        <v>742</v>
      </c>
      <c r="F265" s="43"/>
      <c r="G265" s="3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38"/>
      <c r="AB265" s="38"/>
      <c r="AC265" s="6"/>
      <c r="AD265" s="6">
        <v>20</v>
      </c>
      <c r="AE265" s="6"/>
      <c r="AF265" s="6"/>
      <c r="AG265" s="6"/>
      <c r="AH265" s="6">
        <v>10</v>
      </c>
      <c r="AI265" s="6"/>
      <c r="AJ265" s="6"/>
      <c r="AK265" s="6"/>
      <c r="AL265" s="6"/>
      <c r="AM265" s="6"/>
      <c r="AN265" s="6"/>
      <c r="AO265" s="6"/>
      <c r="AP265" s="43"/>
      <c r="AQ265" s="43"/>
      <c r="AR265" s="60"/>
      <c r="AS265" s="60"/>
      <c r="AT265" s="49">
        <f t="shared" si="4"/>
        <v>30</v>
      </c>
    </row>
    <row r="266" spans="1:46" s="79" customFormat="1" x14ac:dyDescent="0.15">
      <c r="A266" s="27" t="s">
        <v>46</v>
      </c>
      <c r="B266" s="15" t="s">
        <v>482</v>
      </c>
      <c r="C266" s="15" t="s">
        <v>153</v>
      </c>
      <c r="D266" s="15" t="s">
        <v>569</v>
      </c>
      <c r="E266" s="15" t="s">
        <v>743</v>
      </c>
      <c r="F266" s="44" t="s">
        <v>354</v>
      </c>
      <c r="G266" s="50"/>
      <c r="H266" s="12"/>
      <c r="I266" s="12"/>
      <c r="J266" s="12"/>
      <c r="K266" s="12">
        <v>1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>
        <v>6</v>
      </c>
      <c r="AB266" s="12"/>
      <c r="AC266" s="12"/>
      <c r="AD266" s="12"/>
      <c r="AE266" s="12"/>
      <c r="AF266" s="12">
        <v>1</v>
      </c>
      <c r="AG266" s="12"/>
      <c r="AH266" s="12"/>
      <c r="AI266" s="12"/>
      <c r="AJ266" s="12"/>
      <c r="AK266" s="12"/>
      <c r="AL266" s="12"/>
      <c r="AM266" s="12"/>
      <c r="AN266" s="12"/>
      <c r="AO266" s="12"/>
      <c r="AP266" s="44"/>
      <c r="AQ266" s="44"/>
      <c r="AR266" s="238"/>
      <c r="AS266" s="238"/>
      <c r="AT266" s="49">
        <f t="shared" si="4"/>
        <v>8</v>
      </c>
    </row>
    <row r="267" spans="1:46" x14ac:dyDescent="0.15">
      <c r="A267" s="24" t="s">
        <v>61</v>
      </c>
      <c r="B267" s="2" t="s">
        <v>483</v>
      </c>
      <c r="C267" s="2" t="s">
        <v>217</v>
      </c>
      <c r="D267" s="2" t="s">
        <v>562</v>
      </c>
      <c r="E267" s="2" t="s">
        <v>744</v>
      </c>
      <c r="F267" s="43"/>
      <c r="G267" s="3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>
        <v>10</v>
      </c>
      <c r="Z267" s="6"/>
      <c r="AA267" s="38"/>
      <c r="AB267" s="38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43"/>
      <c r="AQ267" s="43"/>
      <c r="AR267" s="60"/>
      <c r="AS267" s="60"/>
      <c r="AT267" s="49">
        <f t="shared" si="4"/>
        <v>10</v>
      </c>
    </row>
    <row r="268" spans="1:46" x14ac:dyDescent="0.15">
      <c r="A268" s="24" t="s">
        <v>47</v>
      </c>
      <c r="B268" s="2" t="s">
        <v>484</v>
      </c>
      <c r="C268" s="2" t="s">
        <v>181</v>
      </c>
      <c r="D268" s="2" t="s">
        <v>556</v>
      </c>
      <c r="E268" s="2" t="s">
        <v>702</v>
      </c>
      <c r="F268" s="43"/>
      <c r="G268" s="3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>
        <v>2</v>
      </c>
      <c r="V268" s="6"/>
      <c r="W268" s="6"/>
      <c r="X268" s="6"/>
      <c r="Y268" s="6"/>
      <c r="Z268" s="6">
        <v>2</v>
      </c>
      <c r="AA268" s="38"/>
      <c r="AB268" s="38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43"/>
      <c r="AQ268" s="43"/>
      <c r="AR268" s="60"/>
      <c r="AS268" s="60"/>
      <c r="AT268" s="49">
        <f t="shared" si="4"/>
        <v>4</v>
      </c>
    </row>
    <row r="269" spans="1:46" x14ac:dyDescent="0.15">
      <c r="A269" s="24" t="s">
        <v>127</v>
      </c>
      <c r="B269" s="2" t="s">
        <v>485</v>
      </c>
      <c r="C269" s="2" t="s">
        <v>126</v>
      </c>
      <c r="D269" s="2" t="s">
        <v>621</v>
      </c>
      <c r="E269" s="2" t="s">
        <v>745</v>
      </c>
      <c r="F269" s="43"/>
      <c r="G269" s="3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38"/>
      <c r="AB269" s="38"/>
      <c r="AC269" s="6"/>
      <c r="AD269" s="6"/>
      <c r="AE269" s="6"/>
      <c r="AF269" s="6"/>
      <c r="AG269" s="6"/>
      <c r="AH269" s="6">
        <v>2</v>
      </c>
      <c r="AI269" s="6"/>
      <c r="AJ269" s="6"/>
      <c r="AK269" s="6"/>
      <c r="AL269" s="6"/>
      <c r="AM269" s="6"/>
      <c r="AN269" s="6"/>
      <c r="AO269" s="6"/>
      <c r="AP269" s="43"/>
      <c r="AQ269" s="43"/>
      <c r="AR269" s="60"/>
      <c r="AS269" s="60"/>
      <c r="AT269" s="49">
        <f t="shared" si="4"/>
        <v>2</v>
      </c>
    </row>
    <row r="270" spans="1:46" x14ac:dyDescent="0.15">
      <c r="A270" s="24" t="s">
        <v>90</v>
      </c>
      <c r="B270" s="2" t="s">
        <v>486</v>
      </c>
      <c r="C270" s="2" t="s">
        <v>223</v>
      </c>
      <c r="D270" s="2" t="s">
        <v>622</v>
      </c>
      <c r="E270" s="2" t="s">
        <v>746</v>
      </c>
      <c r="F270" s="43"/>
      <c r="G270" s="32"/>
      <c r="H270" s="6"/>
      <c r="I270" s="6"/>
      <c r="J270" s="6"/>
      <c r="K270" s="6"/>
      <c r="L270" s="6"/>
      <c r="M270" s="6"/>
      <c r="N270" s="6"/>
      <c r="O270" s="6"/>
      <c r="P270" s="6">
        <v>2</v>
      </c>
      <c r="Q270" s="6"/>
      <c r="R270" s="6"/>
      <c r="S270" s="6"/>
      <c r="T270" s="6"/>
      <c r="U270" s="6">
        <v>5</v>
      </c>
      <c r="V270" s="6"/>
      <c r="W270" s="6">
        <v>5</v>
      </c>
      <c r="X270" s="6">
        <v>2</v>
      </c>
      <c r="Y270" s="6"/>
      <c r="Z270" s="6"/>
      <c r="AA270" s="38"/>
      <c r="AB270" s="38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43"/>
      <c r="AQ270" s="43"/>
      <c r="AR270" s="60"/>
      <c r="AS270" s="60"/>
      <c r="AT270" s="49">
        <f t="shared" si="4"/>
        <v>14</v>
      </c>
    </row>
    <row r="271" spans="1:46" x14ac:dyDescent="0.15">
      <c r="A271" s="24" t="s">
        <v>1381</v>
      </c>
      <c r="B271" s="2"/>
      <c r="C271" s="2" t="s">
        <v>1382</v>
      </c>
      <c r="D271" s="2"/>
      <c r="E271" s="333" t="s">
        <v>1383</v>
      </c>
      <c r="F271" s="43"/>
      <c r="G271" s="3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38"/>
      <c r="AB271" s="38"/>
      <c r="AC271" s="6"/>
      <c r="AD271" s="6"/>
      <c r="AE271" s="6"/>
      <c r="AF271" s="6"/>
      <c r="AG271" s="6"/>
      <c r="AH271" s="6">
        <v>3</v>
      </c>
      <c r="AI271" s="6"/>
      <c r="AJ271" s="6"/>
      <c r="AK271" s="6"/>
      <c r="AL271" s="6"/>
      <c r="AM271" s="6"/>
      <c r="AN271" s="6"/>
      <c r="AO271" s="6"/>
      <c r="AP271" s="43"/>
      <c r="AQ271" s="43"/>
      <c r="AR271" s="60"/>
      <c r="AS271" s="60"/>
      <c r="AT271" s="49">
        <f t="shared" si="4"/>
        <v>3</v>
      </c>
    </row>
    <row r="272" spans="1:46" x14ac:dyDescent="0.15">
      <c r="A272" s="24" t="s">
        <v>1032</v>
      </c>
      <c r="B272" s="2" t="s">
        <v>1033</v>
      </c>
      <c r="C272" s="2" t="s">
        <v>1034</v>
      </c>
      <c r="D272" s="2" t="s">
        <v>1035</v>
      </c>
      <c r="E272" s="129" t="s">
        <v>1031</v>
      </c>
      <c r="F272" s="43"/>
      <c r="G272" s="3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38"/>
      <c r="AB272" s="38"/>
      <c r="AC272" s="6"/>
      <c r="AD272" s="6"/>
      <c r="AE272" s="6"/>
      <c r="AF272" s="6"/>
      <c r="AG272" s="6"/>
      <c r="AH272" s="6">
        <v>10</v>
      </c>
      <c r="AI272" s="6"/>
      <c r="AJ272" s="6"/>
      <c r="AK272" s="6"/>
      <c r="AL272" s="6"/>
      <c r="AM272" s="6"/>
      <c r="AN272" s="6"/>
      <c r="AO272" s="6"/>
      <c r="AP272" s="43"/>
      <c r="AQ272" s="43"/>
      <c r="AR272" s="60"/>
      <c r="AS272" s="60"/>
      <c r="AT272" s="49">
        <f t="shared" si="4"/>
        <v>10</v>
      </c>
    </row>
    <row r="273" spans="1:46" x14ac:dyDescent="0.15">
      <c r="A273" s="24" t="s">
        <v>5</v>
      </c>
      <c r="B273" s="2" t="s">
        <v>488</v>
      </c>
      <c r="C273" s="2" t="s">
        <v>206</v>
      </c>
      <c r="D273" s="2" t="s">
        <v>562</v>
      </c>
      <c r="E273" s="2" t="s">
        <v>748</v>
      </c>
      <c r="F273" s="43"/>
      <c r="G273" s="3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38"/>
      <c r="AB273" s="38"/>
      <c r="AC273" s="6"/>
      <c r="AD273" s="6"/>
      <c r="AE273" s="6"/>
      <c r="AF273" s="6"/>
      <c r="AG273" s="6"/>
      <c r="AH273" s="6">
        <v>1</v>
      </c>
      <c r="AI273" s="6"/>
      <c r="AJ273" s="6"/>
      <c r="AK273" s="6"/>
      <c r="AL273" s="6"/>
      <c r="AM273" s="6"/>
      <c r="AN273" s="6"/>
      <c r="AO273" s="6"/>
      <c r="AP273" s="43"/>
      <c r="AQ273" s="43"/>
      <c r="AR273" s="60"/>
      <c r="AS273" s="60"/>
      <c r="AT273" s="49">
        <f t="shared" si="4"/>
        <v>1</v>
      </c>
    </row>
    <row r="274" spans="1:46" x14ac:dyDescent="0.15">
      <c r="A274" s="16"/>
      <c r="B274" s="17"/>
      <c r="C274" s="18" t="s">
        <v>804</v>
      </c>
      <c r="D274" s="17"/>
      <c r="E274" s="35"/>
      <c r="F274" s="17"/>
      <c r="G274" s="53">
        <f t="shared" ref="G274:AG274" si="5">COUNT(G3:G273)</f>
        <v>15</v>
      </c>
      <c r="H274" s="54">
        <f t="shared" si="5"/>
        <v>17</v>
      </c>
      <c r="I274" s="54">
        <f t="shared" si="5"/>
        <v>17</v>
      </c>
      <c r="J274" s="54">
        <f t="shared" si="5"/>
        <v>15</v>
      </c>
      <c r="K274" s="54">
        <f t="shared" si="5"/>
        <v>15</v>
      </c>
      <c r="L274" s="54">
        <f t="shared" si="5"/>
        <v>10</v>
      </c>
      <c r="M274" s="54">
        <f t="shared" si="5"/>
        <v>12</v>
      </c>
      <c r="N274" s="54">
        <f t="shared" si="5"/>
        <v>2</v>
      </c>
      <c r="O274" s="54">
        <f t="shared" si="5"/>
        <v>17</v>
      </c>
      <c r="P274" s="54">
        <f t="shared" si="5"/>
        <v>16</v>
      </c>
      <c r="Q274" s="54">
        <f t="shared" si="5"/>
        <v>11</v>
      </c>
      <c r="R274" s="54">
        <f t="shared" si="5"/>
        <v>10</v>
      </c>
      <c r="S274" s="54">
        <f t="shared" si="5"/>
        <v>12</v>
      </c>
      <c r="T274" s="54">
        <f t="shared" si="5"/>
        <v>1</v>
      </c>
      <c r="U274" s="54">
        <f t="shared" si="5"/>
        <v>41</v>
      </c>
      <c r="V274" s="54">
        <f t="shared" si="5"/>
        <v>32</v>
      </c>
      <c r="W274" s="54">
        <f t="shared" si="5"/>
        <v>58</v>
      </c>
      <c r="X274" s="54">
        <f t="shared" si="5"/>
        <v>22</v>
      </c>
      <c r="Y274" s="54">
        <f t="shared" si="5"/>
        <v>21</v>
      </c>
      <c r="Z274" s="54">
        <f t="shared" si="5"/>
        <v>3</v>
      </c>
      <c r="AA274" s="55">
        <f t="shared" si="5"/>
        <v>34</v>
      </c>
      <c r="AB274" s="55">
        <f t="shared" si="5"/>
        <v>1</v>
      </c>
      <c r="AC274" s="230">
        <f t="shared" si="5"/>
        <v>30</v>
      </c>
      <c r="AD274" s="230">
        <f t="shared" si="5"/>
        <v>34</v>
      </c>
      <c r="AE274" s="54">
        <f t="shared" si="5"/>
        <v>8</v>
      </c>
      <c r="AF274" s="54">
        <f t="shared" si="5"/>
        <v>28</v>
      </c>
      <c r="AG274" s="230">
        <f t="shared" si="5"/>
        <v>0</v>
      </c>
      <c r="AH274" s="230">
        <f>COUNT(AH2:AH273)</f>
        <v>83</v>
      </c>
      <c r="AI274" s="230">
        <f t="shared" ref="AI274:AS274" si="6">COUNT(AI3:AI273)</f>
        <v>6</v>
      </c>
      <c r="AJ274" s="230">
        <f t="shared" si="6"/>
        <v>5</v>
      </c>
      <c r="AK274" s="230">
        <f t="shared" si="6"/>
        <v>1</v>
      </c>
      <c r="AL274" s="230">
        <f t="shared" si="6"/>
        <v>1</v>
      </c>
      <c r="AM274" s="230">
        <f t="shared" si="6"/>
        <v>1</v>
      </c>
      <c r="AN274" s="230">
        <f t="shared" si="6"/>
        <v>2</v>
      </c>
      <c r="AO274" s="230">
        <f t="shared" si="6"/>
        <v>2</v>
      </c>
      <c r="AP274" s="230">
        <f t="shared" si="6"/>
        <v>3</v>
      </c>
      <c r="AQ274" s="230">
        <f t="shared" si="6"/>
        <v>5</v>
      </c>
      <c r="AR274" s="230">
        <f t="shared" si="6"/>
        <v>3</v>
      </c>
      <c r="AS274" s="230">
        <f t="shared" si="6"/>
        <v>1</v>
      </c>
      <c r="AT274" s="56"/>
    </row>
  </sheetData>
  <phoneticPr fontId="1" type="noConversion"/>
  <conditionalFormatting sqref="A249:A1048576 A233:A247 A1:A11 A13:A230">
    <cfRule type="duplicateValues" dxfId="205" priority="3"/>
  </conditionalFormatting>
  <conditionalFormatting sqref="A231:A232">
    <cfRule type="duplicateValues" dxfId="204" priority="2"/>
  </conditionalFormatting>
  <conditionalFormatting sqref="A248">
    <cfRule type="duplicateValues" dxfId="203" priority="1"/>
  </conditionalFormatting>
  <pageMargins left="0.19685039370078741" right="0.19685039370078741" top="0.43307086614173229" bottom="0.39370078740157483" header="0.31496062992125984" footer="0.31496062992125984"/>
  <pageSetup paperSize="9" scale="60" fitToHeight="0" orientation="landscape" r:id="rId1"/>
  <ignoredErrors>
    <ignoredError sqref="AH27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view="pageLayout" zoomScaleNormal="100" workbookViewId="0">
      <selection activeCell="D18" sqref="D18"/>
    </sheetView>
  </sheetViews>
  <sheetFormatPr defaultRowHeight="13.5" x14ac:dyDescent="0.15"/>
  <cols>
    <col min="1" max="1" width="3.109375" customWidth="1"/>
    <col min="2" max="2" width="6.44140625" customWidth="1"/>
    <col min="3" max="3" width="9" hidden="1" customWidth="1"/>
    <col min="4" max="4" width="15.88671875" customWidth="1"/>
    <col min="5" max="5" width="6" customWidth="1"/>
    <col min="6" max="6" width="27.6640625" customWidth="1"/>
    <col min="7" max="7" width="7.77734375" customWidth="1"/>
    <col min="8" max="8" width="7.33203125" customWidth="1"/>
  </cols>
  <sheetData>
    <row r="1" spans="1:8" s="34" customFormat="1" x14ac:dyDescent="0.15">
      <c r="A1" s="271" t="s">
        <v>623</v>
      </c>
      <c r="B1" s="94" t="s">
        <v>48</v>
      </c>
      <c r="C1" s="94" t="s">
        <v>49</v>
      </c>
      <c r="D1" s="94" t="s">
        <v>267</v>
      </c>
      <c r="E1" s="94" t="s">
        <v>50</v>
      </c>
      <c r="F1" s="272" t="s">
        <v>632</v>
      </c>
      <c r="G1" s="271" t="s">
        <v>359</v>
      </c>
      <c r="H1" s="94" t="s">
        <v>1153</v>
      </c>
    </row>
    <row r="2" spans="1:8" s="34" customFormat="1" x14ac:dyDescent="0.15">
      <c r="A2" s="273">
        <v>1</v>
      </c>
      <c r="B2" s="95" t="s">
        <v>791</v>
      </c>
      <c r="C2" s="96" t="s">
        <v>792</v>
      </c>
      <c r="D2" s="96" t="s">
        <v>793</v>
      </c>
      <c r="E2" s="95" t="s">
        <v>794</v>
      </c>
      <c r="F2" s="95" t="s">
        <v>795</v>
      </c>
      <c r="G2" s="155"/>
      <c r="H2" s="111">
        <v>2</v>
      </c>
    </row>
    <row r="3" spans="1:8" s="34" customFormat="1" x14ac:dyDescent="0.15">
      <c r="A3" s="273">
        <v>2</v>
      </c>
      <c r="B3" s="23" t="s">
        <v>907</v>
      </c>
      <c r="C3" s="75" t="s">
        <v>906</v>
      </c>
      <c r="D3" s="11" t="s">
        <v>905</v>
      </c>
      <c r="E3" s="73" t="s">
        <v>908</v>
      </c>
      <c r="F3" s="74" t="s">
        <v>648</v>
      </c>
      <c r="G3" s="76" t="s">
        <v>339</v>
      </c>
      <c r="H3" s="111">
        <v>2</v>
      </c>
    </row>
    <row r="4" spans="1:8" s="34" customFormat="1" x14ac:dyDescent="0.15">
      <c r="A4" s="273">
        <v>3</v>
      </c>
      <c r="B4" s="274" t="s">
        <v>936</v>
      </c>
      <c r="C4" s="164"/>
      <c r="D4" s="274" t="s">
        <v>941</v>
      </c>
      <c r="E4" s="275" t="s">
        <v>942</v>
      </c>
      <c r="F4" s="160" t="s">
        <v>938</v>
      </c>
      <c r="G4" s="97"/>
      <c r="H4" s="276">
        <v>3</v>
      </c>
    </row>
    <row r="5" spans="1:8" x14ac:dyDescent="0.15">
      <c r="A5" s="273">
        <v>4</v>
      </c>
      <c r="B5" s="95" t="s">
        <v>847</v>
      </c>
      <c r="C5" s="96" t="s">
        <v>848</v>
      </c>
      <c r="D5" s="96" t="s">
        <v>849</v>
      </c>
      <c r="E5" s="96" t="s">
        <v>850</v>
      </c>
      <c r="F5" s="96" t="s">
        <v>851</v>
      </c>
      <c r="G5" s="97"/>
      <c r="H5" s="98">
        <v>3</v>
      </c>
    </row>
    <row r="6" spans="1:8" x14ac:dyDescent="0.15">
      <c r="A6" s="273">
        <v>5</v>
      </c>
      <c r="B6" s="128" t="s">
        <v>28</v>
      </c>
      <c r="C6" s="129" t="s">
        <v>392</v>
      </c>
      <c r="D6" s="129" t="s">
        <v>77</v>
      </c>
      <c r="E6" s="129" t="s">
        <v>554</v>
      </c>
      <c r="F6" s="129" t="s">
        <v>669</v>
      </c>
      <c r="G6" s="97"/>
      <c r="H6" s="97">
        <v>6</v>
      </c>
    </row>
    <row r="7" spans="1:8" x14ac:dyDescent="0.15">
      <c r="A7" s="273">
        <v>6</v>
      </c>
      <c r="B7" s="23" t="s">
        <v>60</v>
      </c>
      <c r="C7" s="11" t="s">
        <v>394</v>
      </c>
      <c r="D7" s="11" t="s">
        <v>159</v>
      </c>
      <c r="E7" s="11" t="s">
        <v>556</v>
      </c>
      <c r="F7" s="11" t="s">
        <v>670</v>
      </c>
      <c r="G7" s="44" t="s">
        <v>339</v>
      </c>
      <c r="H7" s="97">
        <v>2</v>
      </c>
    </row>
    <row r="8" spans="1:8" x14ac:dyDescent="0.15">
      <c r="A8" s="273">
        <v>7</v>
      </c>
      <c r="B8" s="25" t="s">
        <v>838</v>
      </c>
      <c r="C8" s="2" t="s">
        <v>105</v>
      </c>
      <c r="D8" s="2" t="s">
        <v>137</v>
      </c>
      <c r="E8" s="2" t="s">
        <v>554</v>
      </c>
      <c r="F8" s="2" t="s">
        <v>679</v>
      </c>
      <c r="G8" s="97"/>
      <c r="H8" s="97">
        <v>2</v>
      </c>
    </row>
    <row r="9" spans="1:8" x14ac:dyDescent="0.15">
      <c r="A9" s="273">
        <v>8</v>
      </c>
      <c r="B9" s="95" t="s">
        <v>1009</v>
      </c>
      <c r="C9" s="96" t="s">
        <v>413</v>
      </c>
      <c r="D9" s="96" t="s">
        <v>1010</v>
      </c>
      <c r="E9" s="96" t="s">
        <v>589</v>
      </c>
      <c r="F9" s="96" t="s">
        <v>661</v>
      </c>
      <c r="G9" s="97"/>
      <c r="H9" s="98">
        <v>3</v>
      </c>
    </row>
    <row r="10" spans="1:8" x14ac:dyDescent="0.15">
      <c r="A10" s="273">
        <v>9</v>
      </c>
      <c r="B10" s="129" t="s">
        <v>53</v>
      </c>
      <c r="C10" s="129" t="s">
        <v>420</v>
      </c>
      <c r="D10" s="129" t="s">
        <v>130</v>
      </c>
      <c r="E10" s="129" t="s">
        <v>556</v>
      </c>
      <c r="F10" s="129" t="s">
        <v>647</v>
      </c>
      <c r="G10" s="97"/>
      <c r="H10" s="97">
        <v>4</v>
      </c>
    </row>
    <row r="11" spans="1:8" x14ac:dyDescent="0.15">
      <c r="A11" s="273">
        <v>10</v>
      </c>
      <c r="B11" s="25" t="s">
        <v>87</v>
      </c>
      <c r="C11" s="2" t="s">
        <v>421</v>
      </c>
      <c r="D11" s="2" t="s">
        <v>168</v>
      </c>
      <c r="E11" s="2" t="s">
        <v>556</v>
      </c>
      <c r="F11" s="2" t="s">
        <v>691</v>
      </c>
      <c r="G11" s="97"/>
      <c r="H11" s="97">
        <v>3</v>
      </c>
    </row>
    <row r="12" spans="1:8" x14ac:dyDescent="0.15">
      <c r="A12" s="273">
        <v>11</v>
      </c>
      <c r="B12" s="99" t="s">
        <v>63</v>
      </c>
      <c r="C12" s="100" t="s">
        <v>422</v>
      </c>
      <c r="D12" s="100" t="s">
        <v>169</v>
      </c>
      <c r="E12" s="100" t="s">
        <v>556</v>
      </c>
      <c r="F12" s="100" t="s">
        <v>692</v>
      </c>
      <c r="G12" s="101" t="s">
        <v>341</v>
      </c>
      <c r="H12" s="101">
        <v>3</v>
      </c>
    </row>
    <row r="13" spans="1:8" x14ac:dyDescent="0.15">
      <c r="A13" s="273">
        <v>12</v>
      </c>
      <c r="B13" s="128" t="s">
        <v>29</v>
      </c>
      <c r="C13" s="129" t="s">
        <v>427</v>
      </c>
      <c r="D13" s="129" t="s">
        <v>171</v>
      </c>
      <c r="E13" s="129" t="s">
        <v>556</v>
      </c>
      <c r="F13" s="129" t="s">
        <v>696</v>
      </c>
      <c r="G13" s="97"/>
      <c r="H13" s="97">
        <v>4</v>
      </c>
    </row>
    <row r="14" spans="1:8" x14ac:dyDescent="0.15">
      <c r="A14" s="273">
        <v>13</v>
      </c>
      <c r="B14" s="95" t="s">
        <v>234</v>
      </c>
      <c r="C14" s="96" t="s">
        <v>452</v>
      </c>
      <c r="D14" s="96" t="s">
        <v>136</v>
      </c>
      <c r="E14" s="96" t="s">
        <v>560</v>
      </c>
      <c r="F14" s="96" t="s">
        <v>640</v>
      </c>
      <c r="G14" s="97"/>
      <c r="H14" s="98">
        <v>2</v>
      </c>
    </row>
    <row r="15" spans="1:8" x14ac:dyDescent="0.15">
      <c r="A15" s="273">
        <v>14</v>
      </c>
      <c r="B15" s="25" t="s">
        <v>235</v>
      </c>
      <c r="C15" s="2" t="s">
        <v>535</v>
      </c>
      <c r="D15" s="2" t="s">
        <v>236</v>
      </c>
      <c r="E15" s="2" t="s">
        <v>573</v>
      </c>
      <c r="F15" s="2" t="s">
        <v>732</v>
      </c>
      <c r="G15" s="97"/>
      <c r="H15" s="98">
        <v>2</v>
      </c>
    </row>
    <row r="16" spans="1:8" x14ac:dyDescent="0.15">
      <c r="A16" s="273">
        <v>15</v>
      </c>
      <c r="B16" s="95" t="s">
        <v>27</v>
      </c>
      <c r="C16" s="102" t="s">
        <v>475</v>
      </c>
      <c r="D16" s="102" t="s">
        <v>135</v>
      </c>
      <c r="E16" s="102" t="s">
        <v>556</v>
      </c>
      <c r="F16" s="102" t="s">
        <v>639</v>
      </c>
      <c r="G16" s="97"/>
      <c r="H16" s="98">
        <v>6</v>
      </c>
    </row>
    <row r="17" spans="1:8" x14ac:dyDescent="0.15">
      <c r="A17" s="92"/>
      <c r="B17" s="277"/>
      <c r="C17" s="277"/>
      <c r="D17" s="92" t="s">
        <v>804</v>
      </c>
      <c r="E17" s="277"/>
      <c r="F17" s="270"/>
      <c r="G17" s="277"/>
      <c r="H17" s="278">
        <v>15</v>
      </c>
    </row>
    <row r="18" spans="1:8" x14ac:dyDescent="0.15">
      <c r="G18" s="68"/>
    </row>
  </sheetData>
  <phoneticPr fontId="1" type="noConversion"/>
  <conditionalFormatting sqref="B12">
    <cfRule type="duplicateValues" dxfId="202" priority="8"/>
  </conditionalFormatting>
  <conditionalFormatting sqref="B9">
    <cfRule type="duplicateValues" dxfId="201" priority="7"/>
  </conditionalFormatting>
  <conditionalFormatting sqref="B2">
    <cfRule type="duplicateValues" dxfId="200" priority="6"/>
  </conditionalFormatting>
  <conditionalFormatting sqref="B8">
    <cfRule type="duplicateValues" dxfId="199" priority="5"/>
  </conditionalFormatting>
  <conditionalFormatting sqref="B15">
    <cfRule type="duplicateValues" dxfId="198" priority="4"/>
  </conditionalFormatting>
  <conditionalFormatting sqref="B3">
    <cfRule type="duplicateValues" dxfId="197" priority="3"/>
  </conditionalFormatting>
  <conditionalFormatting sqref="B7">
    <cfRule type="duplicateValues" dxfId="196" priority="2"/>
  </conditionalFormatting>
  <conditionalFormatting sqref="B11">
    <cfRule type="duplicateValues" dxfId="195" priority="1"/>
  </conditionalFormatting>
  <pageMargins left="0.7" right="0.7" top="0.75" bottom="0.75" header="0.3" footer="0.3"/>
  <pageSetup paperSize="9" orientation="portrait" r:id="rId1"/>
  <headerFooter>
    <oddHeader>&amp;C&amp;"돋움,굵게"42병동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view="pageLayout" zoomScaleNormal="100" workbookViewId="0">
      <selection activeCell="H19" sqref="H19"/>
    </sheetView>
  </sheetViews>
  <sheetFormatPr defaultRowHeight="13.5" x14ac:dyDescent="0.15"/>
  <cols>
    <col min="1" max="1" width="3.6640625" style="4" customWidth="1"/>
    <col min="2" max="2" width="7.21875" customWidth="1"/>
    <col min="3" max="3" width="11.6640625" hidden="1" customWidth="1"/>
    <col min="4" max="4" width="19.33203125" customWidth="1"/>
    <col min="5" max="5" width="6.109375" hidden="1" customWidth="1"/>
    <col min="6" max="6" width="24.44140625" customWidth="1"/>
    <col min="7" max="7" width="7.5546875" customWidth="1"/>
  </cols>
  <sheetData>
    <row r="1" spans="1:8" x14ac:dyDescent="0.15">
      <c r="A1" s="104" t="s">
        <v>624</v>
      </c>
      <c r="B1" s="20" t="s">
        <v>48</v>
      </c>
      <c r="C1" s="21" t="s">
        <v>49</v>
      </c>
      <c r="D1" s="21" t="s">
        <v>267</v>
      </c>
      <c r="E1" s="21" t="s">
        <v>50</v>
      </c>
      <c r="F1" s="37" t="s">
        <v>632</v>
      </c>
      <c r="G1" s="22" t="s">
        <v>359</v>
      </c>
      <c r="H1" s="267" t="s">
        <v>1361</v>
      </c>
    </row>
    <row r="2" spans="1:8" x14ac:dyDescent="0.15">
      <c r="A2" s="104">
        <v>1</v>
      </c>
      <c r="B2" s="24" t="s">
        <v>791</v>
      </c>
      <c r="C2" s="2" t="s">
        <v>792</v>
      </c>
      <c r="D2" s="2" t="s">
        <v>793</v>
      </c>
      <c r="E2" s="5" t="s">
        <v>794</v>
      </c>
      <c r="F2" s="5" t="s">
        <v>795</v>
      </c>
      <c r="G2" s="308"/>
      <c r="H2" s="309">
        <v>1</v>
      </c>
    </row>
    <row r="3" spans="1:8" x14ac:dyDescent="0.15">
      <c r="A3" s="104">
        <v>2</v>
      </c>
      <c r="B3" s="25" t="s">
        <v>35</v>
      </c>
      <c r="C3" s="2" t="s">
        <v>378</v>
      </c>
      <c r="D3" s="2" t="s">
        <v>149</v>
      </c>
      <c r="E3" s="2" t="s">
        <v>568</v>
      </c>
      <c r="F3" s="2" t="s">
        <v>646</v>
      </c>
      <c r="G3" s="282"/>
      <c r="H3" s="283">
        <v>3</v>
      </c>
    </row>
    <row r="4" spans="1:8" x14ac:dyDescent="0.15">
      <c r="A4" s="104">
        <v>3</v>
      </c>
      <c r="B4" s="284" t="s">
        <v>936</v>
      </c>
      <c r="C4" s="1"/>
      <c r="D4" s="1" t="s">
        <v>937</v>
      </c>
      <c r="E4" s="1"/>
      <c r="F4" s="268" t="s">
        <v>938</v>
      </c>
      <c r="G4" s="38"/>
      <c r="H4" s="255">
        <v>1</v>
      </c>
    </row>
    <row r="5" spans="1:8" x14ac:dyDescent="0.15">
      <c r="A5" s="104">
        <v>4</v>
      </c>
      <c r="B5" s="284" t="s">
        <v>28</v>
      </c>
      <c r="C5" s="1" t="s">
        <v>392</v>
      </c>
      <c r="D5" s="1" t="s">
        <v>77</v>
      </c>
      <c r="E5" s="1" t="s">
        <v>554</v>
      </c>
      <c r="F5" s="1" t="s">
        <v>669</v>
      </c>
      <c r="G5" s="38"/>
      <c r="H5" s="255">
        <v>4</v>
      </c>
    </row>
    <row r="6" spans="1:8" x14ac:dyDescent="0.15">
      <c r="A6" s="104">
        <v>5</v>
      </c>
      <c r="B6" s="284" t="s">
        <v>67</v>
      </c>
      <c r="C6" s="1" t="s">
        <v>417</v>
      </c>
      <c r="D6" s="1" t="s">
        <v>192</v>
      </c>
      <c r="E6" s="1" t="s">
        <v>554</v>
      </c>
      <c r="F6" s="1" t="s">
        <v>685</v>
      </c>
      <c r="G6" s="38"/>
      <c r="H6" s="255">
        <v>1</v>
      </c>
    </row>
    <row r="7" spans="1:8" x14ac:dyDescent="0.15">
      <c r="A7" s="104">
        <v>6</v>
      </c>
      <c r="B7" s="284" t="s">
        <v>544</v>
      </c>
      <c r="C7" s="1" t="s">
        <v>545</v>
      </c>
      <c r="D7" s="1" t="s">
        <v>334</v>
      </c>
      <c r="E7" s="1" t="s">
        <v>556</v>
      </c>
      <c r="F7" s="1" t="s">
        <v>753</v>
      </c>
      <c r="G7" s="38"/>
      <c r="H7" s="255">
        <v>1</v>
      </c>
    </row>
    <row r="8" spans="1:8" x14ac:dyDescent="0.15">
      <c r="A8" s="104">
        <v>7</v>
      </c>
      <c r="B8" s="140" t="s">
        <v>53</v>
      </c>
      <c r="C8" s="1" t="s">
        <v>420</v>
      </c>
      <c r="D8" s="1" t="s">
        <v>130</v>
      </c>
      <c r="E8" s="1" t="s">
        <v>556</v>
      </c>
      <c r="F8" s="1" t="s">
        <v>647</v>
      </c>
      <c r="G8" s="38"/>
      <c r="H8" s="255">
        <v>2</v>
      </c>
    </row>
    <row r="9" spans="1:8" x14ac:dyDescent="0.15">
      <c r="A9" s="104">
        <v>8</v>
      </c>
      <c r="B9" s="23" t="s">
        <v>63</v>
      </c>
      <c r="C9" s="11" t="s">
        <v>422</v>
      </c>
      <c r="D9" s="11" t="s">
        <v>169</v>
      </c>
      <c r="E9" s="11" t="s">
        <v>556</v>
      </c>
      <c r="F9" s="11" t="s">
        <v>692</v>
      </c>
      <c r="G9" s="12" t="str">
        <f>VLOOKUP(B9,'비품현황표(전체)'!$A$1:$F$273,6,0)</f>
        <v>유사모양</v>
      </c>
      <c r="H9" s="257">
        <v>2</v>
      </c>
    </row>
    <row r="10" spans="1:8" x14ac:dyDescent="0.15">
      <c r="A10" s="104">
        <v>9</v>
      </c>
      <c r="B10" s="284" t="s">
        <v>29</v>
      </c>
      <c r="C10" s="1" t="s">
        <v>427</v>
      </c>
      <c r="D10" s="1" t="s">
        <v>171</v>
      </c>
      <c r="E10" s="1" t="s">
        <v>556</v>
      </c>
      <c r="F10" s="1" t="s">
        <v>696</v>
      </c>
      <c r="G10" s="38"/>
      <c r="H10" s="255">
        <v>2</v>
      </c>
    </row>
    <row r="11" spans="1:8" x14ac:dyDescent="0.15">
      <c r="A11" s="104">
        <v>10</v>
      </c>
      <c r="B11" s="285" t="s">
        <v>97</v>
      </c>
      <c r="C11" s="264" t="s">
        <v>445</v>
      </c>
      <c r="D11" s="264" t="s">
        <v>200</v>
      </c>
      <c r="E11" s="1" t="s">
        <v>606</v>
      </c>
      <c r="F11" s="1" t="s">
        <v>708</v>
      </c>
      <c r="G11" s="38"/>
      <c r="H11" s="255">
        <v>1</v>
      </c>
    </row>
    <row r="12" spans="1:8" x14ac:dyDescent="0.15">
      <c r="A12" s="104">
        <v>11</v>
      </c>
      <c r="B12" s="25" t="s">
        <v>1004</v>
      </c>
      <c r="C12" s="2" t="s">
        <v>1005</v>
      </c>
      <c r="D12" s="3" t="s">
        <v>1006</v>
      </c>
      <c r="E12" s="1"/>
      <c r="F12" s="1" t="s">
        <v>1198</v>
      </c>
      <c r="G12" s="38"/>
      <c r="H12" s="255">
        <v>2</v>
      </c>
    </row>
    <row r="13" spans="1:8" x14ac:dyDescent="0.15">
      <c r="A13" s="104">
        <v>12</v>
      </c>
      <c r="B13" s="40" t="s">
        <v>93</v>
      </c>
      <c r="C13" s="14" t="s">
        <v>446</v>
      </c>
      <c r="D13" s="14" t="s">
        <v>175</v>
      </c>
      <c r="E13" s="11" t="s">
        <v>582</v>
      </c>
      <c r="F13" s="11" t="s">
        <v>648</v>
      </c>
      <c r="G13" s="12" t="str">
        <f>VLOOKUP(B13,'비품현황표(전체)'!$A$1:$F$273,6,0)</f>
        <v>유사모양</v>
      </c>
      <c r="H13" s="257">
        <v>1</v>
      </c>
    </row>
    <row r="14" spans="1:8" x14ac:dyDescent="0.15">
      <c r="A14" s="104">
        <v>13</v>
      </c>
      <c r="B14" s="140" t="s">
        <v>265</v>
      </c>
      <c r="C14" s="1" t="s">
        <v>529</v>
      </c>
      <c r="D14" s="1" t="s">
        <v>261</v>
      </c>
      <c r="E14" s="1" t="s">
        <v>563</v>
      </c>
      <c r="F14" s="1" t="s">
        <v>713</v>
      </c>
      <c r="G14" s="38"/>
      <c r="H14" s="255">
        <v>1</v>
      </c>
    </row>
    <row r="15" spans="1:8" x14ac:dyDescent="0.15">
      <c r="A15" s="104">
        <v>14</v>
      </c>
      <c r="B15" s="284" t="s">
        <v>234</v>
      </c>
      <c r="C15" s="1" t="s">
        <v>452</v>
      </c>
      <c r="D15" s="1" t="s">
        <v>136</v>
      </c>
      <c r="E15" s="1" t="s">
        <v>560</v>
      </c>
      <c r="F15" s="1" t="s">
        <v>640</v>
      </c>
      <c r="G15" s="38"/>
      <c r="H15" s="255">
        <v>1</v>
      </c>
    </row>
    <row r="16" spans="1:8" x14ac:dyDescent="0.15">
      <c r="A16" s="104">
        <v>15</v>
      </c>
      <c r="B16" s="23" t="s">
        <v>33</v>
      </c>
      <c r="C16" s="11" t="s">
        <v>459</v>
      </c>
      <c r="D16" s="11" t="s">
        <v>148</v>
      </c>
      <c r="E16" s="11" t="s">
        <v>612</v>
      </c>
      <c r="F16" s="11" t="s">
        <v>701</v>
      </c>
      <c r="G16" s="12" t="str">
        <f>VLOOKUP(B16,'비품현황표(전체)'!$A$1:$F$273,6,0)</f>
        <v>유사모양</v>
      </c>
      <c r="H16" s="257">
        <v>10</v>
      </c>
    </row>
    <row r="17" spans="1:8" x14ac:dyDescent="0.15">
      <c r="A17" s="104">
        <v>16</v>
      </c>
      <c r="B17" s="140" t="s">
        <v>235</v>
      </c>
      <c r="C17" s="1" t="s">
        <v>535</v>
      </c>
      <c r="D17" s="1" t="s">
        <v>236</v>
      </c>
      <c r="E17" s="1" t="s">
        <v>573</v>
      </c>
      <c r="F17" s="1" t="s">
        <v>732</v>
      </c>
      <c r="G17" s="38"/>
      <c r="H17" s="255">
        <v>1</v>
      </c>
    </row>
    <row r="18" spans="1:8" x14ac:dyDescent="0.15">
      <c r="A18" s="104">
        <v>17</v>
      </c>
      <c r="B18" s="286" t="s">
        <v>27</v>
      </c>
      <c r="C18" s="287" t="s">
        <v>475</v>
      </c>
      <c r="D18" s="287" t="s">
        <v>135</v>
      </c>
      <c r="E18" s="287" t="s">
        <v>556</v>
      </c>
      <c r="F18" s="287" t="s">
        <v>639</v>
      </c>
      <c r="G18" s="288"/>
      <c r="H18" s="289">
        <v>3</v>
      </c>
    </row>
    <row r="19" spans="1:8" x14ac:dyDescent="0.15">
      <c r="A19" s="33"/>
      <c r="B19" s="58"/>
      <c r="C19" s="58"/>
      <c r="D19" s="87" t="s">
        <v>804</v>
      </c>
      <c r="E19" s="58"/>
      <c r="F19" s="91"/>
      <c r="G19" s="58"/>
      <c r="H19" s="59">
        <v>17</v>
      </c>
    </row>
  </sheetData>
  <phoneticPr fontId="1" type="noConversion"/>
  <conditionalFormatting sqref="B3">
    <cfRule type="duplicateValues" dxfId="194" priority="3"/>
  </conditionalFormatting>
  <conditionalFormatting sqref="B12">
    <cfRule type="duplicateValues" dxfId="193" priority="2"/>
  </conditionalFormatting>
  <conditionalFormatting sqref="B2">
    <cfRule type="duplicateValues" dxfId="192" priority="1"/>
  </conditionalFormatting>
  <pageMargins left="0.7" right="0.7" top="0.75" bottom="0.75" header="0.3" footer="0.3"/>
  <pageSetup paperSize="9" orientation="portrait" r:id="rId1"/>
  <headerFooter>
    <oddHeader>&amp;C&amp;"돋움,굵게"61병동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view="pageLayout" zoomScaleNormal="100" workbookViewId="0">
      <selection activeCell="G2" sqref="G2"/>
    </sheetView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3.109375" hidden="1" customWidth="1"/>
    <col min="6" max="6" width="23.77734375" customWidth="1"/>
    <col min="7" max="7" width="6" customWidth="1"/>
    <col min="8" max="8" width="8.6640625" customWidth="1"/>
  </cols>
  <sheetData>
    <row r="1" spans="1:8" ht="13.5" customHeight="1" x14ac:dyDescent="0.15">
      <c r="A1" s="134" t="s">
        <v>367</v>
      </c>
      <c r="B1" s="85" t="s">
        <v>48</v>
      </c>
      <c r="C1" s="85" t="s">
        <v>49</v>
      </c>
      <c r="D1" s="85" t="s">
        <v>267</v>
      </c>
      <c r="E1" s="85" t="s">
        <v>50</v>
      </c>
      <c r="F1" s="85" t="s">
        <v>632</v>
      </c>
      <c r="G1" s="184" t="s">
        <v>359</v>
      </c>
      <c r="H1" s="85" t="s">
        <v>1002</v>
      </c>
    </row>
    <row r="2" spans="1:8" ht="13.5" customHeight="1" x14ac:dyDescent="0.15">
      <c r="A2" s="194">
        <v>1</v>
      </c>
      <c r="B2" s="115" t="s">
        <v>109</v>
      </c>
      <c r="C2" s="115" t="s">
        <v>1229</v>
      </c>
      <c r="D2" s="115" t="s">
        <v>1230</v>
      </c>
      <c r="E2" s="115" t="s">
        <v>1231</v>
      </c>
      <c r="F2" s="115" t="s">
        <v>1232</v>
      </c>
      <c r="G2" s="115" t="str">
        <f>VLOOKUP(B2,'비품현황표(전체)'!$A$1:$F$273,6, )</f>
        <v>용량고주의</v>
      </c>
      <c r="H2" s="193">
        <v>1</v>
      </c>
    </row>
    <row r="3" spans="1:8" x14ac:dyDescent="0.15">
      <c r="A3" s="96">
        <v>2</v>
      </c>
      <c r="B3" s="115" t="s">
        <v>1227</v>
      </c>
      <c r="C3" s="115" t="s">
        <v>1233</v>
      </c>
      <c r="D3" s="115" t="s">
        <v>1228</v>
      </c>
      <c r="E3" s="115" t="s">
        <v>1234</v>
      </c>
      <c r="F3" s="115" t="s">
        <v>1235</v>
      </c>
      <c r="G3" s="115" t="s">
        <v>1236</v>
      </c>
      <c r="H3" s="97">
        <v>2</v>
      </c>
    </row>
    <row r="4" spans="1:8" x14ac:dyDescent="0.15">
      <c r="A4" s="195">
        <v>3</v>
      </c>
      <c r="B4" s="128" t="s">
        <v>936</v>
      </c>
      <c r="C4" s="129"/>
      <c r="D4" s="129" t="s">
        <v>937</v>
      </c>
      <c r="E4" s="129"/>
      <c r="F4" s="133" t="s">
        <v>938</v>
      </c>
      <c r="G4" s="97"/>
      <c r="H4" s="97">
        <v>2</v>
      </c>
    </row>
    <row r="5" spans="1:8" x14ac:dyDescent="0.15">
      <c r="A5" s="96">
        <v>4</v>
      </c>
      <c r="B5" s="128" t="s">
        <v>28</v>
      </c>
      <c r="C5" s="129" t="s">
        <v>392</v>
      </c>
      <c r="D5" s="129" t="s">
        <v>77</v>
      </c>
      <c r="E5" s="129" t="s">
        <v>554</v>
      </c>
      <c r="F5" s="129" t="s">
        <v>669</v>
      </c>
      <c r="G5" s="97"/>
      <c r="H5" s="97">
        <v>6</v>
      </c>
    </row>
    <row r="6" spans="1:8" x14ac:dyDescent="0.15">
      <c r="A6" s="195">
        <v>5</v>
      </c>
      <c r="B6" s="99" t="s">
        <v>60</v>
      </c>
      <c r="C6" s="100" t="s">
        <v>394</v>
      </c>
      <c r="D6" s="100" t="s">
        <v>159</v>
      </c>
      <c r="E6" s="100" t="s">
        <v>556</v>
      </c>
      <c r="F6" s="100" t="s">
        <v>670</v>
      </c>
      <c r="G6" s="101" t="str">
        <f>VLOOKUP(B6,'비품현황표(전체)'!$A$1:$F$273,6, )</f>
        <v>유사발음</v>
      </c>
      <c r="H6" s="101">
        <v>3</v>
      </c>
    </row>
    <row r="7" spans="1:8" x14ac:dyDescent="0.15">
      <c r="A7" s="195">
        <v>6</v>
      </c>
      <c r="B7" s="129" t="s">
        <v>838</v>
      </c>
      <c r="C7" s="129" t="s">
        <v>105</v>
      </c>
      <c r="D7" s="129" t="s">
        <v>137</v>
      </c>
      <c r="E7" s="129" t="s">
        <v>554</v>
      </c>
      <c r="F7" s="129" t="s">
        <v>679</v>
      </c>
      <c r="G7" s="97"/>
      <c r="H7" s="97">
        <v>1</v>
      </c>
    </row>
    <row r="8" spans="1:8" x14ac:dyDescent="0.15">
      <c r="A8" s="96">
        <v>7</v>
      </c>
      <c r="B8" s="95" t="s">
        <v>1009</v>
      </c>
      <c r="C8" s="96" t="s">
        <v>413</v>
      </c>
      <c r="D8" s="96" t="s">
        <v>1010</v>
      </c>
      <c r="E8" s="96" t="s">
        <v>589</v>
      </c>
      <c r="F8" s="96" t="s">
        <v>661</v>
      </c>
      <c r="G8" s="97"/>
      <c r="H8" s="97">
        <v>2</v>
      </c>
    </row>
    <row r="9" spans="1:8" x14ac:dyDescent="0.15">
      <c r="A9" s="195">
        <v>8</v>
      </c>
      <c r="B9" s="128" t="s">
        <v>840</v>
      </c>
      <c r="C9" s="129" t="s">
        <v>545</v>
      </c>
      <c r="D9" s="129" t="s">
        <v>334</v>
      </c>
      <c r="E9" s="129" t="s">
        <v>556</v>
      </c>
      <c r="F9" s="129" t="s">
        <v>753</v>
      </c>
      <c r="G9" s="97"/>
      <c r="H9" s="97">
        <v>1</v>
      </c>
    </row>
    <row r="10" spans="1:8" x14ac:dyDescent="0.15">
      <c r="A10" s="96">
        <v>9</v>
      </c>
      <c r="B10" s="129" t="s">
        <v>53</v>
      </c>
      <c r="C10" s="129" t="s">
        <v>420</v>
      </c>
      <c r="D10" s="129" t="s">
        <v>130</v>
      </c>
      <c r="E10" s="129" t="s">
        <v>556</v>
      </c>
      <c r="F10" s="129" t="s">
        <v>647</v>
      </c>
      <c r="G10" s="97"/>
      <c r="H10" s="97">
        <v>5</v>
      </c>
    </row>
    <row r="11" spans="1:8" x14ac:dyDescent="0.15">
      <c r="A11" s="195">
        <v>10</v>
      </c>
      <c r="B11" s="99" t="s">
        <v>63</v>
      </c>
      <c r="C11" s="100" t="s">
        <v>422</v>
      </c>
      <c r="D11" s="100" t="s">
        <v>169</v>
      </c>
      <c r="E11" s="100" t="s">
        <v>556</v>
      </c>
      <c r="F11" s="100" t="s">
        <v>692</v>
      </c>
      <c r="G11" s="101" t="str">
        <f>VLOOKUP(B11,'비품현황표(전체)'!$A$1:$F$273,6, )</f>
        <v>유사모양</v>
      </c>
      <c r="H11" s="101">
        <v>1</v>
      </c>
    </row>
    <row r="12" spans="1:8" x14ac:dyDescent="0.15">
      <c r="A12" s="195">
        <v>11</v>
      </c>
      <c r="B12" s="128" t="s">
        <v>29</v>
      </c>
      <c r="C12" s="129" t="s">
        <v>427</v>
      </c>
      <c r="D12" s="129" t="s">
        <v>171</v>
      </c>
      <c r="E12" s="129" t="s">
        <v>556</v>
      </c>
      <c r="F12" s="129" t="s">
        <v>696</v>
      </c>
      <c r="G12" s="97"/>
      <c r="H12" s="97">
        <v>5</v>
      </c>
    </row>
    <row r="13" spans="1:8" x14ac:dyDescent="0.15">
      <c r="A13" s="96">
        <v>12</v>
      </c>
      <c r="B13" s="129" t="s">
        <v>95</v>
      </c>
      <c r="C13" s="129" t="s">
        <v>429</v>
      </c>
      <c r="D13" s="129" t="s">
        <v>198</v>
      </c>
      <c r="E13" s="129" t="s">
        <v>554</v>
      </c>
      <c r="F13" s="129" t="s">
        <v>648</v>
      </c>
      <c r="G13" s="97"/>
      <c r="H13" s="97">
        <v>2</v>
      </c>
    </row>
    <row r="14" spans="1:8" x14ac:dyDescent="0.15">
      <c r="A14" s="195">
        <v>13</v>
      </c>
      <c r="B14" s="129" t="s">
        <v>265</v>
      </c>
      <c r="C14" s="129" t="s">
        <v>529</v>
      </c>
      <c r="D14" s="129" t="s">
        <v>315</v>
      </c>
      <c r="E14" s="129" t="s">
        <v>563</v>
      </c>
      <c r="F14" s="129" t="s">
        <v>713</v>
      </c>
      <c r="G14" s="97"/>
      <c r="H14" s="97">
        <v>2</v>
      </c>
    </row>
    <row r="15" spans="1:8" x14ac:dyDescent="0.15">
      <c r="A15" s="96">
        <v>14</v>
      </c>
      <c r="B15" s="95" t="s">
        <v>234</v>
      </c>
      <c r="C15" s="96" t="s">
        <v>452</v>
      </c>
      <c r="D15" s="96" t="s">
        <v>136</v>
      </c>
      <c r="E15" s="96" t="s">
        <v>560</v>
      </c>
      <c r="F15" s="96" t="s">
        <v>640</v>
      </c>
      <c r="G15" s="97"/>
      <c r="H15" s="97">
        <v>1</v>
      </c>
    </row>
    <row r="16" spans="1:8" x14ac:dyDescent="0.15">
      <c r="A16" s="195">
        <v>15</v>
      </c>
      <c r="B16" s="100" t="s">
        <v>39</v>
      </c>
      <c r="C16" s="100" t="s">
        <v>455</v>
      </c>
      <c r="D16" s="100" t="s">
        <v>134</v>
      </c>
      <c r="E16" s="100" t="s">
        <v>561</v>
      </c>
      <c r="F16" s="100" t="s">
        <v>718</v>
      </c>
      <c r="G16" s="101" t="str">
        <f>VLOOKUP(B16,'비품현황표(전체)'!$A$1:$F$273,6, )</f>
        <v>유사발음</v>
      </c>
      <c r="H16" s="101">
        <v>1</v>
      </c>
    </row>
    <row r="17" spans="1:8" x14ac:dyDescent="0.15">
      <c r="A17" s="195">
        <v>16</v>
      </c>
      <c r="B17" s="96" t="s">
        <v>235</v>
      </c>
      <c r="C17" s="96" t="s">
        <v>535</v>
      </c>
      <c r="D17" s="96" t="s">
        <v>236</v>
      </c>
      <c r="E17" s="96" t="s">
        <v>573</v>
      </c>
      <c r="F17" s="96" t="s">
        <v>732</v>
      </c>
      <c r="G17" s="97"/>
      <c r="H17" s="98">
        <v>1</v>
      </c>
    </row>
    <row r="18" spans="1:8" x14ac:dyDescent="0.15">
      <c r="A18" s="92">
        <v>17</v>
      </c>
      <c r="B18" s="107" t="s">
        <v>27</v>
      </c>
      <c r="C18" s="108" t="s">
        <v>475</v>
      </c>
      <c r="D18" s="108" t="s">
        <v>135</v>
      </c>
      <c r="E18" s="108" t="s">
        <v>556</v>
      </c>
      <c r="F18" s="108" t="s">
        <v>639</v>
      </c>
      <c r="G18" s="139"/>
      <c r="H18" s="109">
        <v>5</v>
      </c>
    </row>
    <row r="19" spans="1:8" x14ac:dyDescent="0.15">
      <c r="A19" s="135"/>
      <c r="B19" s="91"/>
      <c r="C19" s="91"/>
      <c r="D19" s="87" t="s">
        <v>804</v>
      </c>
      <c r="E19" s="91"/>
      <c r="F19" s="91"/>
      <c r="G19" s="91"/>
      <c r="H19" s="59">
        <v>17</v>
      </c>
    </row>
  </sheetData>
  <phoneticPr fontId="1" type="noConversion"/>
  <conditionalFormatting sqref="B2:G3">
    <cfRule type="duplicateValues" dxfId="191" priority="4"/>
  </conditionalFormatting>
  <conditionalFormatting sqref="B11">
    <cfRule type="duplicateValues" dxfId="190" priority="3"/>
  </conditionalFormatting>
  <conditionalFormatting sqref="B15">
    <cfRule type="duplicateValues" dxfId="189" priority="2"/>
  </conditionalFormatting>
  <conditionalFormatting sqref="B8">
    <cfRule type="duplicateValues" dxfId="188" priority="1"/>
  </conditionalFormatting>
  <pageMargins left="0.7" right="0.7" top="0.75" bottom="0.75" header="0.3" footer="0.3"/>
  <pageSetup paperSize="9" orientation="portrait" r:id="rId1"/>
  <headerFooter>
    <oddHeader>&amp;C&amp;"돋움,굵게"62병동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WhiteSpace="0" view="pageLayout" zoomScaleNormal="100" workbookViewId="0">
      <selection activeCell="H1" sqref="H1"/>
    </sheetView>
  </sheetViews>
  <sheetFormatPr defaultRowHeight="13.5" x14ac:dyDescent="0.15"/>
  <cols>
    <col min="1" max="1" width="3.21875" customWidth="1"/>
    <col min="2" max="2" width="7.21875" customWidth="1"/>
    <col min="3" max="3" width="0.44140625" hidden="1" customWidth="1"/>
    <col min="4" max="4" width="19.88671875" customWidth="1"/>
    <col min="5" max="5" width="6.109375" hidden="1" customWidth="1"/>
    <col min="6" max="6" width="24.5546875" customWidth="1"/>
    <col min="7" max="7" width="7.5546875" customWidth="1"/>
    <col min="8" max="8" width="11" customWidth="1"/>
  </cols>
  <sheetData>
    <row r="1" spans="1:8" ht="13.5" customHeight="1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84" t="s">
        <v>359</v>
      </c>
      <c r="H1" s="104" t="s">
        <v>1271</v>
      </c>
    </row>
    <row r="2" spans="1:8" x14ac:dyDescent="0.15">
      <c r="A2" s="122">
        <v>1</v>
      </c>
      <c r="B2" s="114" t="s">
        <v>6</v>
      </c>
      <c r="C2" s="115" t="s">
        <v>380</v>
      </c>
      <c r="D2" s="115" t="s">
        <v>128</v>
      </c>
      <c r="E2" s="115" t="s">
        <v>569</v>
      </c>
      <c r="F2" s="115" t="s">
        <v>648</v>
      </c>
      <c r="G2" s="116" t="str">
        <f>VLOOKUP(B2,'비품현황표(전체)'!$A$1:$F$273,6, )</f>
        <v>유사모양</v>
      </c>
      <c r="H2" s="116">
        <v>1</v>
      </c>
    </row>
    <row r="3" spans="1:8" x14ac:dyDescent="0.15">
      <c r="A3" s="122">
        <v>2</v>
      </c>
      <c r="B3" s="128" t="s">
        <v>936</v>
      </c>
      <c r="C3" s="129"/>
      <c r="D3" s="129" t="s">
        <v>937</v>
      </c>
      <c r="E3" s="129"/>
      <c r="F3" s="133" t="s">
        <v>938</v>
      </c>
      <c r="G3" s="97"/>
      <c r="H3" s="97">
        <v>2</v>
      </c>
    </row>
    <row r="4" spans="1:8" x14ac:dyDescent="0.15">
      <c r="A4" s="122">
        <v>3</v>
      </c>
      <c r="B4" s="95" t="s">
        <v>9</v>
      </c>
      <c r="C4" s="96" t="s">
        <v>385</v>
      </c>
      <c r="D4" s="96" t="s">
        <v>185</v>
      </c>
      <c r="E4" s="96" t="s">
        <v>556</v>
      </c>
      <c r="F4" s="96" t="s">
        <v>659</v>
      </c>
      <c r="G4" s="97"/>
      <c r="H4" s="97">
        <v>2</v>
      </c>
    </row>
    <row r="5" spans="1:8" x14ac:dyDescent="0.15">
      <c r="A5" s="122">
        <v>4</v>
      </c>
      <c r="B5" s="95" t="s">
        <v>69</v>
      </c>
      <c r="C5" s="96" t="s">
        <v>499</v>
      </c>
      <c r="D5" s="96" t="s">
        <v>836</v>
      </c>
      <c r="E5" s="96" t="s">
        <v>578</v>
      </c>
      <c r="F5" s="96" t="s">
        <v>640</v>
      </c>
      <c r="G5" s="215"/>
      <c r="H5" s="147">
        <v>4</v>
      </c>
    </row>
    <row r="6" spans="1:8" x14ac:dyDescent="0.15">
      <c r="A6" s="122">
        <v>5</v>
      </c>
      <c r="B6" s="128" t="s">
        <v>28</v>
      </c>
      <c r="C6" s="129" t="s">
        <v>392</v>
      </c>
      <c r="D6" s="129" t="s">
        <v>77</v>
      </c>
      <c r="E6" s="129" t="s">
        <v>554</v>
      </c>
      <c r="F6" s="129" t="s">
        <v>669</v>
      </c>
      <c r="G6" s="97"/>
      <c r="H6" s="97">
        <v>5</v>
      </c>
    </row>
    <row r="7" spans="1:8" x14ac:dyDescent="0.15">
      <c r="A7" s="122">
        <v>6</v>
      </c>
      <c r="B7" s="129" t="s">
        <v>53</v>
      </c>
      <c r="C7" s="129" t="s">
        <v>420</v>
      </c>
      <c r="D7" s="129" t="s">
        <v>130</v>
      </c>
      <c r="E7" s="129" t="s">
        <v>556</v>
      </c>
      <c r="F7" s="129" t="s">
        <v>647</v>
      </c>
      <c r="G7" s="97"/>
      <c r="H7" s="97">
        <v>2</v>
      </c>
    </row>
    <row r="8" spans="1:8" x14ac:dyDescent="0.15">
      <c r="A8" s="122">
        <v>7</v>
      </c>
      <c r="B8" s="99" t="s">
        <v>63</v>
      </c>
      <c r="C8" s="100" t="s">
        <v>422</v>
      </c>
      <c r="D8" s="100" t="s">
        <v>169</v>
      </c>
      <c r="E8" s="100" t="s">
        <v>556</v>
      </c>
      <c r="F8" s="100" t="s">
        <v>692</v>
      </c>
      <c r="G8" s="101" t="str">
        <f>VLOOKUP(B8,'비품현황표(전체)'!$A$1:$F$273,6, )</f>
        <v>유사모양</v>
      </c>
      <c r="H8" s="101">
        <v>2</v>
      </c>
    </row>
    <row r="9" spans="1:8" x14ac:dyDescent="0.15">
      <c r="A9" s="122">
        <v>8</v>
      </c>
      <c r="B9" s="128" t="s">
        <v>29</v>
      </c>
      <c r="C9" s="129" t="s">
        <v>427</v>
      </c>
      <c r="D9" s="129" t="s">
        <v>171</v>
      </c>
      <c r="E9" s="129" t="s">
        <v>556</v>
      </c>
      <c r="F9" s="129" t="s">
        <v>696</v>
      </c>
      <c r="G9" s="97"/>
      <c r="H9" s="97">
        <v>5</v>
      </c>
    </row>
    <row r="10" spans="1:8" x14ac:dyDescent="0.15">
      <c r="A10" s="122">
        <v>9</v>
      </c>
      <c r="B10" s="99" t="s">
        <v>555</v>
      </c>
      <c r="C10" s="100" t="s">
        <v>549</v>
      </c>
      <c r="D10" s="100" t="s">
        <v>132</v>
      </c>
      <c r="E10" s="100" t="s">
        <v>554</v>
      </c>
      <c r="F10" s="100" t="s">
        <v>700</v>
      </c>
      <c r="G10" s="101" t="str">
        <f>VLOOKUP(B10,'비품현황표(전체)'!$A$1:$F$273,6, )</f>
        <v>유사모양</v>
      </c>
      <c r="H10" s="101">
        <v>1</v>
      </c>
    </row>
    <row r="11" spans="1:8" x14ac:dyDescent="0.15">
      <c r="A11" s="122">
        <v>10</v>
      </c>
      <c r="B11" s="120" t="s">
        <v>93</v>
      </c>
      <c r="C11" s="156" t="s">
        <v>446</v>
      </c>
      <c r="D11" s="156" t="s">
        <v>175</v>
      </c>
      <c r="E11" s="100" t="s">
        <v>582</v>
      </c>
      <c r="F11" s="100" t="s">
        <v>648</v>
      </c>
      <c r="G11" s="101" t="str">
        <f>VLOOKUP(B11,'비품현황표(전체)'!$A$1:$F$273,6, )</f>
        <v>유사모양</v>
      </c>
      <c r="H11" s="101">
        <v>1</v>
      </c>
    </row>
    <row r="12" spans="1:8" x14ac:dyDescent="0.15">
      <c r="A12" s="122">
        <v>11</v>
      </c>
      <c r="B12" s="96" t="s">
        <v>24</v>
      </c>
      <c r="C12" s="96" t="s">
        <v>448</v>
      </c>
      <c r="D12" s="96" t="s">
        <v>138</v>
      </c>
      <c r="E12" s="96" t="s">
        <v>918</v>
      </c>
      <c r="F12" s="96" t="s">
        <v>710</v>
      </c>
      <c r="G12" s="97"/>
      <c r="H12" s="97">
        <v>3</v>
      </c>
    </row>
    <row r="13" spans="1:8" x14ac:dyDescent="0.15">
      <c r="A13" s="122">
        <v>12</v>
      </c>
      <c r="B13" s="128" t="s">
        <v>234</v>
      </c>
      <c r="C13" s="129" t="s">
        <v>452</v>
      </c>
      <c r="D13" s="129" t="s">
        <v>136</v>
      </c>
      <c r="E13" s="129" t="s">
        <v>560</v>
      </c>
      <c r="F13" s="129" t="s">
        <v>640</v>
      </c>
      <c r="G13" s="97"/>
      <c r="H13" s="97">
        <v>1</v>
      </c>
    </row>
    <row r="14" spans="1:8" x14ac:dyDescent="0.15">
      <c r="A14" s="122">
        <v>13</v>
      </c>
      <c r="B14" s="100" t="s">
        <v>39</v>
      </c>
      <c r="C14" s="100" t="s">
        <v>455</v>
      </c>
      <c r="D14" s="100" t="s">
        <v>134</v>
      </c>
      <c r="E14" s="100" t="s">
        <v>561</v>
      </c>
      <c r="F14" s="100" t="s">
        <v>718</v>
      </c>
      <c r="G14" s="101" t="str">
        <f>VLOOKUP(B14,'비품현황표(전체)'!$A$1:$F$273,6, )</f>
        <v>유사발음</v>
      </c>
      <c r="H14" s="101">
        <v>1</v>
      </c>
    </row>
    <row r="15" spans="1:8" x14ac:dyDescent="0.15">
      <c r="A15" s="122">
        <v>14</v>
      </c>
      <c r="B15" s="99" t="s">
        <v>264</v>
      </c>
      <c r="C15" s="100" t="s">
        <v>550</v>
      </c>
      <c r="D15" s="100" t="s">
        <v>276</v>
      </c>
      <c r="E15" s="100" t="s">
        <v>558</v>
      </c>
      <c r="F15" s="100" t="s">
        <v>660</v>
      </c>
      <c r="G15" s="101" t="str">
        <f>VLOOKUP(B15,'비품현황표(전체)'!$A$1:$F$273,6, )</f>
        <v>유사모양</v>
      </c>
      <c r="H15" s="101">
        <v>1</v>
      </c>
    </row>
    <row r="16" spans="1:8" x14ac:dyDescent="0.15">
      <c r="A16" s="122">
        <v>15</v>
      </c>
      <c r="B16" s="128" t="s">
        <v>27</v>
      </c>
      <c r="C16" s="136" t="s">
        <v>475</v>
      </c>
      <c r="D16" s="136" t="s">
        <v>135</v>
      </c>
      <c r="E16" s="136" t="s">
        <v>556</v>
      </c>
      <c r="F16" s="136" t="s">
        <v>639</v>
      </c>
      <c r="G16" s="97"/>
      <c r="H16" s="97">
        <v>5</v>
      </c>
    </row>
    <row r="17" spans="1:8" x14ac:dyDescent="0.15">
      <c r="A17" s="121"/>
      <c r="B17" s="81"/>
      <c r="C17" s="81"/>
      <c r="D17" s="93" t="s">
        <v>804</v>
      </c>
      <c r="E17" s="81"/>
      <c r="F17" s="106"/>
      <c r="G17" s="81"/>
      <c r="H17" s="110">
        <v>15</v>
      </c>
    </row>
  </sheetData>
  <phoneticPr fontId="1" type="noConversion"/>
  <conditionalFormatting sqref="B4">
    <cfRule type="duplicateValues" dxfId="187" priority="4"/>
  </conditionalFormatting>
  <conditionalFormatting sqref="B12">
    <cfRule type="duplicateValues" dxfId="186" priority="3"/>
  </conditionalFormatting>
  <conditionalFormatting sqref="B11">
    <cfRule type="duplicateValues" dxfId="185" priority="2"/>
  </conditionalFormatting>
  <conditionalFormatting sqref="B5">
    <cfRule type="duplicateValues" dxfId="184" priority="1"/>
  </conditionalFormatting>
  <pageMargins left="0.7" right="0.7" top="0.75" bottom="0.75" header="0.3" footer="0.3"/>
  <pageSetup paperSize="9" orientation="portrait" r:id="rId1"/>
  <headerFooter>
    <oddHeader>&amp;C&amp;"돋움,굵게"71병동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view="pageLayout" zoomScaleNormal="100" workbookViewId="0">
      <selection activeCell="H17" sqref="H17"/>
    </sheetView>
  </sheetViews>
  <sheetFormatPr defaultRowHeight="13.5" x14ac:dyDescent="0.15"/>
  <cols>
    <col min="1" max="1" width="3.777343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9.21875" customWidth="1"/>
    <col min="7" max="7" width="7.5546875" customWidth="1"/>
    <col min="8" max="8" width="6.2187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749</v>
      </c>
      <c r="G1" s="84" t="s">
        <v>359</v>
      </c>
      <c r="H1" s="104" t="s">
        <v>1378</v>
      </c>
    </row>
    <row r="2" spans="1:8" x14ac:dyDescent="0.15">
      <c r="A2" s="104">
        <v>1</v>
      </c>
      <c r="B2" s="24" t="s">
        <v>791</v>
      </c>
      <c r="C2" s="2" t="s">
        <v>792</v>
      </c>
      <c r="D2" s="2" t="s">
        <v>793</v>
      </c>
      <c r="E2" s="5" t="s">
        <v>794</v>
      </c>
      <c r="F2" s="5" t="s">
        <v>795</v>
      </c>
      <c r="G2" s="103"/>
      <c r="H2" s="104">
        <v>1</v>
      </c>
    </row>
    <row r="3" spans="1:8" x14ac:dyDescent="0.15">
      <c r="A3" s="104">
        <v>2</v>
      </c>
      <c r="B3" s="130" t="s">
        <v>936</v>
      </c>
      <c r="C3" s="131"/>
      <c r="D3" s="131" t="s">
        <v>937</v>
      </c>
      <c r="E3" s="131"/>
      <c r="F3" s="126" t="s">
        <v>938</v>
      </c>
      <c r="G3" s="117"/>
      <c r="H3" s="117">
        <v>1</v>
      </c>
    </row>
    <row r="4" spans="1:8" x14ac:dyDescent="0.15">
      <c r="A4" s="104">
        <v>3</v>
      </c>
      <c r="B4" s="128" t="s">
        <v>28</v>
      </c>
      <c r="C4" s="129" t="s">
        <v>392</v>
      </c>
      <c r="D4" s="129" t="s">
        <v>77</v>
      </c>
      <c r="E4" s="129" t="s">
        <v>554</v>
      </c>
      <c r="F4" s="129" t="s">
        <v>669</v>
      </c>
      <c r="G4" s="97"/>
      <c r="H4" s="97">
        <v>5</v>
      </c>
    </row>
    <row r="5" spans="1:8" x14ac:dyDescent="0.15">
      <c r="A5" s="104">
        <v>4</v>
      </c>
      <c r="B5" s="99" t="s">
        <v>60</v>
      </c>
      <c r="C5" s="100" t="s">
        <v>394</v>
      </c>
      <c r="D5" s="100" t="s">
        <v>159</v>
      </c>
      <c r="E5" s="100" t="s">
        <v>556</v>
      </c>
      <c r="F5" s="100" t="s">
        <v>670</v>
      </c>
      <c r="G5" s="101" t="str">
        <f>VLOOKUP(B5,'비품현황표(전체)'!$A$1:$F$273,6, )</f>
        <v>유사발음</v>
      </c>
      <c r="H5" s="101">
        <v>1</v>
      </c>
    </row>
    <row r="6" spans="1:8" x14ac:dyDescent="0.15">
      <c r="A6" s="104">
        <v>5</v>
      </c>
      <c r="B6" s="128" t="s">
        <v>544</v>
      </c>
      <c r="C6" s="129" t="s">
        <v>545</v>
      </c>
      <c r="D6" s="129" t="s">
        <v>334</v>
      </c>
      <c r="E6" s="129" t="s">
        <v>556</v>
      </c>
      <c r="F6" s="129" t="s">
        <v>753</v>
      </c>
      <c r="G6" s="97"/>
      <c r="H6" s="97">
        <v>1</v>
      </c>
    </row>
    <row r="7" spans="1:8" x14ac:dyDescent="0.15">
      <c r="A7" s="104">
        <v>6</v>
      </c>
      <c r="B7" s="129" t="s">
        <v>53</v>
      </c>
      <c r="C7" s="129" t="s">
        <v>420</v>
      </c>
      <c r="D7" s="129" t="s">
        <v>130</v>
      </c>
      <c r="E7" s="129" t="s">
        <v>556</v>
      </c>
      <c r="F7" s="129" t="s">
        <v>647</v>
      </c>
      <c r="G7" s="97"/>
      <c r="H7" s="97">
        <v>5</v>
      </c>
    </row>
    <row r="8" spans="1:8" x14ac:dyDescent="0.15">
      <c r="A8" s="104">
        <v>7</v>
      </c>
      <c r="B8" s="99" t="s">
        <v>63</v>
      </c>
      <c r="C8" s="100" t="s">
        <v>422</v>
      </c>
      <c r="D8" s="100" t="s">
        <v>169</v>
      </c>
      <c r="E8" s="100" t="s">
        <v>556</v>
      </c>
      <c r="F8" s="100" t="s">
        <v>692</v>
      </c>
      <c r="G8" s="101" t="str">
        <f>VLOOKUP(B8,'비품현황표(전체)'!$A$1:$F$273,6, )</f>
        <v>유사모양</v>
      </c>
      <c r="H8" s="101">
        <v>1</v>
      </c>
    </row>
    <row r="9" spans="1:8" x14ac:dyDescent="0.15">
      <c r="A9" s="104">
        <v>8</v>
      </c>
      <c r="B9" s="128" t="s">
        <v>29</v>
      </c>
      <c r="C9" s="129" t="s">
        <v>427</v>
      </c>
      <c r="D9" s="129" t="s">
        <v>171</v>
      </c>
      <c r="E9" s="129" t="s">
        <v>556</v>
      </c>
      <c r="F9" s="129" t="s">
        <v>696</v>
      </c>
      <c r="G9" s="97"/>
      <c r="H9" s="97">
        <v>5</v>
      </c>
    </row>
    <row r="10" spans="1:8" x14ac:dyDescent="0.15">
      <c r="A10" s="104">
        <v>9</v>
      </c>
      <c r="B10" s="120" t="s">
        <v>93</v>
      </c>
      <c r="C10" s="156" t="s">
        <v>446</v>
      </c>
      <c r="D10" s="156" t="s">
        <v>175</v>
      </c>
      <c r="E10" s="100" t="s">
        <v>582</v>
      </c>
      <c r="F10" s="100" t="s">
        <v>648</v>
      </c>
      <c r="G10" s="101" t="str">
        <f>VLOOKUP(B10,'비품현황표(전체)'!$A$1:$F$273,6, )</f>
        <v>유사모양</v>
      </c>
      <c r="H10" s="101">
        <v>1</v>
      </c>
    </row>
    <row r="11" spans="1:8" x14ac:dyDescent="0.15">
      <c r="A11" s="104">
        <v>10</v>
      </c>
      <c r="B11" s="96" t="s">
        <v>24</v>
      </c>
      <c r="C11" s="96" t="s">
        <v>448</v>
      </c>
      <c r="D11" s="96" t="s">
        <v>138</v>
      </c>
      <c r="E11" s="96" t="s">
        <v>918</v>
      </c>
      <c r="F11" s="96" t="s">
        <v>710</v>
      </c>
      <c r="G11" s="97"/>
      <c r="H11" s="97">
        <v>3</v>
      </c>
    </row>
    <row r="12" spans="1:8" x14ac:dyDescent="0.15">
      <c r="A12" s="104">
        <v>11</v>
      </c>
      <c r="B12" s="95" t="s">
        <v>234</v>
      </c>
      <c r="C12" s="96" t="s">
        <v>452</v>
      </c>
      <c r="D12" s="96" t="s">
        <v>136</v>
      </c>
      <c r="E12" s="96" t="s">
        <v>560</v>
      </c>
      <c r="F12" s="96" t="s">
        <v>640</v>
      </c>
      <c r="G12" s="97"/>
      <c r="H12" s="98">
        <v>1</v>
      </c>
    </row>
    <row r="13" spans="1:8" x14ac:dyDescent="0.15">
      <c r="A13" s="104">
        <v>12</v>
      </c>
      <c r="B13" s="100" t="s">
        <v>39</v>
      </c>
      <c r="C13" s="100" t="s">
        <v>455</v>
      </c>
      <c r="D13" s="100" t="s">
        <v>134</v>
      </c>
      <c r="E13" s="100" t="s">
        <v>561</v>
      </c>
      <c r="F13" s="100" t="s">
        <v>718</v>
      </c>
      <c r="G13" s="101" t="str">
        <f>VLOOKUP(B13,'비품현황표(전체)'!$A$1:$F$273,6, )</f>
        <v>유사발음</v>
      </c>
      <c r="H13" s="101">
        <v>3</v>
      </c>
    </row>
    <row r="14" spans="1:8" x14ac:dyDescent="0.15">
      <c r="A14" s="104">
        <v>13</v>
      </c>
      <c r="B14" s="23" t="s">
        <v>264</v>
      </c>
      <c r="C14" s="11" t="s">
        <v>550</v>
      </c>
      <c r="D14" s="11" t="s">
        <v>276</v>
      </c>
      <c r="E14" s="11" t="s">
        <v>558</v>
      </c>
      <c r="F14" s="11" t="s">
        <v>660</v>
      </c>
      <c r="G14" s="44" t="s">
        <v>341</v>
      </c>
      <c r="H14" s="321">
        <v>1</v>
      </c>
    </row>
    <row r="15" spans="1:8" x14ac:dyDescent="0.15">
      <c r="A15" s="104">
        <v>14</v>
      </c>
      <c r="B15" s="100" t="s">
        <v>27</v>
      </c>
      <c r="C15" s="100" t="s">
        <v>475</v>
      </c>
      <c r="D15" s="100" t="s">
        <v>135</v>
      </c>
      <c r="E15" s="100" t="s">
        <v>556</v>
      </c>
      <c r="F15" s="100" t="s">
        <v>639</v>
      </c>
      <c r="G15" s="101"/>
      <c r="H15" s="109">
        <v>5</v>
      </c>
    </row>
    <row r="16" spans="1:8" x14ac:dyDescent="0.15">
      <c r="A16" s="104">
        <v>15</v>
      </c>
      <c r="B16" s="27" t="s">
        <v>46</v>
      </c>
      <c r="C16" s="15" t="s">
        <v>482</v>
      </c>
      <c r="D16" s="15" t="s">
        <v>153</v>
      </c>
      <c r="E16" s="15" t="s">
        <v>569</v>
      </c>
      <c r="F16" s="15" t="s">
        <v>743</v>
      </c>
      <c r="G16" s="44" t="s">
        <v>341</v>
      </c>
      <c r="H16" s="163">
        <v>1</v>
      </c>
    </row>
    <row r="17" spans="1:8" x14ac:dyDescent="0.15">
      <c r="A17" s="81"/>
      <c r="B17" s="81"/>
      <c r="C17" s="81"/>
      <c r="D17" s="93" t="s">
        <v>804</v>
      </c>
      <c r="E17" s="81"/>
      <c r="F17" s="106"/>
      <c r="G17" s="81"/>
      <c r="H17" s="110">
        <v>15</v>
      </c>
    </row>
  </sheetData>
  <phoneticPr fontId="1" type="noConversion"/>
  <conditionalFormatting sqref="B10">
    <cfRule type="duplicateValues" dxfId="183" priority="9"/>
  </conditionalFormatting>
  <conditionalFormatting sqref="B8">
    <cfRule type="duplicateValues" dxfId="182" priority="7"/>
  </conditionalFormatting>
  <conditionalFormatting sqref="B11">
    <cfRule type="duplicateValues" dxfId="181" priority="6"/>
  </conditionalFormatting>
  <conditionalFormatting sqref="B2">
    <cfRule type="duplicateValues" dxfId="180" priority="3"/>
  </conditionalFormatting>
  <conditionalFormatting sqref="B14">
    <cfRule type="duplicateValues" dxfId="179" priority="2"/>
  </conditionalFormatting>
  <conditionalFormatting sqref="B16">
    <cfRule type="duplicateValues" dxfId="178" priority="1"/>
  </conditionalFormatting>
  <pageMargins left="0.7" right="0.7" top="0.75" bottom="0.75" header="0.3" footer="0.3"/>
  <pageSetup paperSize="9" orientation="portrait" r:id="rId1"/>
  <headerFooter>
    <oddHeader>&amp;C&amp;"돋움,굵게"72병동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view="pageLayout" zoomScaleNormal="100" workbookViewId="0">
      <selection activeCell="D8" sqref="D8"/>
    </sheetView>
  </sheetViews>
  <sheetFormatPr defaultRowHeight="13.5" x14ac:dyDescent="0.15"/>
  <cols>
    <col min="1" max="1" width="2.8867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" customWidth="1"/>
    <col min="7" max="7" width="7.5546875" customWidth="1"/>
    <col min="8" max="8" width="9.77734375" customWidth="1"/>
  </cols>
  <sheetData>
    <row r="1" spans="1:8" x14ac:dyDescent="0.15">
      <c r="A1" s="104" t="s">
        <v>624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84" t="s">
        <v>359</v>
      </c>
      <c r="H1" s="104" t="s">
        <v>1298</v>
      </c>
    </row>
    <row r="2" spans="1:8" x14ac:dyDescent="0.15">
      <c r="A2" s="104">
        <v>1</v>
      </c>
      <c r="B2" s="122" t="s">
        <v>791</v>
      </c>
      <c r="C2" s="118" t="s">
        <v>792</v>
      </c>
      <c r="D2" s="118" t="s">
        <v>793</v>
      </c>
      <c r="E2" s="118" t="s">
        <v>794</v>
      </c>
      <c r="F2" s="118" t="s">
        <v>795</v>
      </c>
      <c r="G2" s="118"/>
      <c r="H2" s="97">
        <v>2</v>
      </c>
    </row>
    <row r="3" spans="1:8" x14ac:dyDescent="0.15">
      <c r="A3" s="104">
        <v>2</v>
      </c>
      <c r="B3" s="128" t="s">
        <v>936</v>
      </c>
      <c r="C3" s="129"/>
      <c r="D3" s="129" t="s">
        <v>937</v>
      </c>
      <c r="E3" s="129"/>
      <c r="F3" s="129" t="s">
        <v>938</v>
      </c>
      <c r="G3" s="183" t="str">
        <f>IF(VLOOKUP(B3,'비품현황표(전체)'!$A$1:$F$273,6,FALSE)=0,"",VLOOKUP(B3,'비품현황표(전체)'!$A$1:$F$273,6,FALSE))</f>
        <v/>
      </c>
      <c r="H3" s="97">
        <v>2</v>
      </c>
    </row>
    <row r="4" spans="1:8" x14ac:dyDescent="0.15">
      <c r="A4" s="104">
        <v>3</v>
      </c>
      <c r="B4" s="128" t="s">
        <v>28</v>
      </c>
      <c r="C4" s="129" t="s">
        <v>392</v>
      </c>
      <c r="D4" s="129" t="s">
        <v>77</v>
      </c>
      <c r="E4" s="129" t="s">
        <v>554</v>
      </c>
      <c r="F4" s="129" t="s">
        <v>669</v>
      </c>
      <c r="G4" s="183" t="str">
        <f>IF(VLOOKUP(B4,'비품현황표(전체)'!$A$1:$F$273,6,FALSE)=0,"",VLOOKUP(B4,'비품현황표(전체)'!$A$1:$F$273,6,FALSE))</f>
        <v/>
      </c>
      <c r="H4" s="97">
        <v>6</v>
      </c>
    </row>
    <row r="5" spans="1:8" x14ac:dyDescent="0.15">
      <c r="A5" s="104">
        <v>4</v>
      </c>
      <c r="B5" s="129" t="s">
        <v>89</v>
      </c>
      <c r="C5" s="129" t="s">
        <v>395</v>
      </c>
      <c r="D5" s="129" t="s">
        <v>99</v>
      </c>
      <c r="E5" s="129" t="s">
        <v>879</v>
      </c>
      <c r="F5" s="129" t="s">
        <v>643</v>
      </c>
      <c r="G5" s="183" t="str">
        <f>IF(VLOOKUP(B5,'비품현황표(전체)'!$A$1:$F$273,6,FALSE)=0,"",VLOOKUP(B5,'비품현황표(전체)'!$A$1:$F$273,6,FALSE))</f>
        <v/>
      </c>
      <c r="H5" s="97">
        <v>6</v>
      </c>
    </row>
    <row r="6" spans="1:8" x14ac:dyDescent="0.15">
      <c r="A6" s="104">
        <v>5</v>
      </c>
      <c r="B6" s="129" t="s">
        <v>53</v>
      </c>
      <c r="C6" s="129" t="s">
        <v>420</v>
      </c>
      <c r="D6" s="129" t="s">
        <v>130</v>
      </c>
      <c r="E6" s="129" t="s">
        <v>556</v>
      </c>
      <c r="F6" s="129" t="s">
        <v>647</v>
      </c>
      <c r="G6" s="183" t="str">
        <f>IF(VLOOKUP(B6,'비품현황표(전체)'!$A$1:$F$273,6,FALSE)=0,"",VLOOKUP(B6,'비품현황표(전체)'!$A$1:$F$273,6,FALSE))</f>
        <v/>
      </c>
      <c r="H6" s="97">
        <v>3</v>
      </c>
    </row>
    <row r="7" spans="1:8" x14ac:dyDescent="0.15">
      <c r="A7" s="104">
        <v>6</v>
      </c>
      <c r="B7" s="128" t="s">
        <v>29</v>
      </c>
      <c r="C7" s="129" t="s">
        <v>427</v>
      </c>
      <c r="D7" s="129" t="s">
        <v>171</v>
      </c>
      <c r="E7" s="129" t="s">
        <v>556</v>
      </c>
      <c r="F7" s="129" t="s">
        <v>696</v>
      </c>
      <c r="G7" s="183" t="str">
        <f>IF(VLOOKUP(B7,'비품현황표(전체)'!$A$1:$F$273,6,FALSE)=0,"",VLOOKUP(B7,'비품현황표(전체)'!$A$1:$F$273,6,FALSE))</f>
        <v/>
      </c>
      <c r="H7" s="97">
        <v>4</v>
      </c>
    </row>
    <row r="8" spans="1:8" x14ac:dyDescent="0.15">
      <c r="A8" s="104">
        <v>7</v>
      </c>
      <c r="B8" s="96" t="s">
        <v>1125</v>
      </c>
      <c r="C8" s="96" t="s">
        <v>1126</v>
      </c>
      <c r="D8" s="96" t="s">
        <v>1127</v>
      </c>
      <c r="E8" s="96" t="s">
        <v>1128</v>
      </c>
      <c r="F8" s="96" t="s">
        <v>1129</v>
      </c>
      <c r="G8" s="183"/>
      <c r="H8" s="97">
        <v>2</v>
      </c>
    </row>
    <row r="9" spans="1:8" x14ac:dyDescent="0.15">
      <c r="A9" s="104">
        <v>8</v>
      </c>
      <c r="B9" s="128" t="s">
        <v>234</v>
      </c>
      <c r="C9" s="129" t="s">
        <v>452</v>
      </c>
      <c r="D9" s="129" t="s">
        <v>136</v>
      </c>
      <c r="E9" s="129" t="s">
        <v>560</v>
      </c>
      <c r="F9" s="129" t="s">
        <v>640</v>
      </c>
      <c r="G9" s="97" t="str">
        <f>IF(VLOOKUP(B9,'비품현황표(전체)'!$A$1:$F$273,6,FALSE)=0,"",VLOOKUP(B9,'비품현황표(전체)'!$A$1:$F$273,6,FALSE))</f>
        <v/>
      </c>
      <c r="H9" s="97">
        <v>2</v>
      </c>
    </row>
    <row r="10" spans="1:8" x14ac:dyDescent="0.15">
      <c r="A10" s="104">
        <v>9</v>
      </c>
      <c r="B10" s="128" t="s">
        <v>961</v>
      </c>
      <c r="C10" s="129" t="s">
        <v>553</v>
      </c>
      <c r="D10" s="129" t="s">
        <v>962</v>
      </c>
      <c r="E10" s="129" t="s">
        <v>619</v>
      </c>
      <c r="F10" s="129" t="s">
        <v>738</v>
      </c>
      <c r="G10" s="183" t="str">
        <f>IF(VLOOKUP(B10,'비품현황표(전체)'!$A$1:$F$273,6,FALSE)=0,"",VLOOKUP(B10,'비품현황표(전체)'!$A$1:$F$273,6,FALSE))</f>
        <v/>
      </c>
      <c r="H10" s="97">
        <v>4</v>
      </c>
    </row>
    <row r="11" spans="1:8" x14ac:dyDescent="0.15">
      <c r="A11" s="104">
        <v>10</v>
      </c>
      <c r="B11" s="149" t="s">
        <v>27</v>
      </c>
      <c r="C11" s="138" t="s">
        <v>475</v>
      </c>
      <c r="D11" s="138" t="s">
        <v>135</v>
      </c>
      <c r="E11" s="138" t="s">
        <v>556</v>
      </c>
      <c r="F11" s="138" t="s">
        <v>639</v>
      </c>
      <c r="G11" s="269" t="str">
        <f>IF(VLOOKUP(B11,'비품현황표(전체)'!$A$1:$F$273,6,FALSE)=0,"",VLOOKUP(B11,'비품현황표(전체)'!$A$1:$F$273,6,FALSE))</f>
        <v/>
      </c>
      <c r="H11" s="139">
        <v>6</v>
      </c>
    </row>
    <row r="12" spans="1:8" x14ac:dyDescent="0.15">
      <c r="A12" s="81"/>
      <c r="B12" s="81"/>
      <c r="C12" s="81"/>
      <c r="D12" s="93" t="s">
        <v>804</v>
      </c>
      <c r="E12" s="81"/>
      <c r="F12" s="106"/>
      <c r="G12" s="58"/>
      <c r="H12" s="110">
        <v>10</v>
      </c>
    </row>
  </sheetData>
  <sortState ref="B9:H10">
    <sortCondition ref="B9"/>
  </sortState>
  <phoneticPr fontId="1" type="noConversion"/>
  <conditionalFormatting sqref="B8">
    <cfRule type="duplicateValues" dxfId="177" priority="2"/>
  </conditionalFormatting>
  <conditionalFormatting sqref="B2">
    <cfRule type="duplicateValues" dxfId="176" priority="1"/>
  </conditionalFormatting>
  <pageMargins left="0.7" right="0.7" top="0.75" bottom="0.75" header="0.3" footer="0.3"/>
  <pageSetup paperSize="9" orientation="portrait" r:id="rId1"/>
  <headerFooter>
    <oddHeader>&amp;C&amp;"돋움,굵게"81병동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view="pageLayout" zoomScaleNormal="100" workbookViewId="0">
      <selection activeCell="H11" sqref="H11"/>
    </sheetView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19.21875" customWidth="1"/>
    <col min="5" max="5" width="6.109375" hidden="1" customWidth="1"/>
    <col min="6" max="6" width="25.21875" customWidth="1"/>
    <col min="7" max="7" width="7.5546875" customWidth="1"/>
    <col min="8" max="8" width="9.4414062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1337</v>
      </c>
      <c r="E1" s="104" t="s">
        <v>50</v>
      </c>
      <c r="F1" s="105" t="s">
        <v>632</v>
      </c>
      <c r="G1" s="84" t="s">
        <v>359</v>
      </c>
      <c r="H1" s="84" t="s">
        <v>1339</v>
      </c>
    </row>
    <row r="2" spans="1:8" x14ac:dyDescent="0.15">
      <c r="A2" s="104">
        <v>1</v>
      </c>
      <c r="B2" s="24" t="s">
        <v>791</v>
      </c>
      <c r="C2" s="2" t="s">
        <v>792</v>
      </c>
      <c r="D2" s="2" t="s">
        <v>793</v>
      </c>
      <c r="E2" s="5" t="s">
        <v>794</v>
      </c>
      <c r="F2" s="5" t="s">
        <v>795</v>
      </c>
      <c r="G2" s="43"/>
      <c r="H2" s="97">
        <v>2</v>
      </c>
    </row>
    <row r="3" spans="1:8" x14ac:dyDescent="0.15">
      <c r="A3" s="104">
        <v>2</v>
      </c>
      <c r="B3" s="128" t="s">
        <v>936</v>
      </c>
      <c r="C3" s="129" t="s">
        <v>937</v>
      </c>
      <c r="D3" s="128" t="s">
        <v>937</v>
      </c>
      <c r="E3" s="129"/>
      <c r="F3" s="129" t="s">
        <v>938</v>
      </c>
      <c r="G3" s="183" t="str">
        <f>IF(VLOOKUP(B3,'비품현황표(전체)'!$A$1:$F$273,6,FALSE)=0,"",VLOOKUP(B3,'비품현황표(전체)'!$A$1:$F$273,6,FALSE))</f>
        <v/>
      </c>
      <c r="H3" s="97">
        <v>2</v>
      </c>
    </row>
    <row r="4" spans="1:8" x14ac:dyDescent="0.15">
      <c r="A4" s="104">
        <v>3</v>
      </c>
      <c r="B4" s="129" t="s">
        <v>28</v>
      </c>
      <c r="C4" s="129" t="s">
        <v>77</v>
      </c>
      <c r="D4" s="128" t="s">
        <v>77</v>
      </c>
      <c r="E4" s="129"/>
      <c r="F4" s="129" t="s">
        <v>669</v>
      </c>
      <c r="G4" s="183" t="str">
        <f>IF(VLOOKUP(B4,'비품현황표(전체)'!$A$1:$F$273,6,FALSE)=0,"",VLOOKUP(B4,'비품현황표(전체)'!$A$1:$F$273,6,FALSE))</f>
        <v/>
      </c>
      <c r="H4" s="97">
        <v>4</v>
      </c>
    </row>
    <row r="5" spans="1:8" x14ac:dyDescent="0.15">
      <c r="A5" s="104">
        <v>4</v>
      </c>
      <c r="B5" s="129" t="s">
        <v>60</v>
      </c>
      <c r="C5" s="129" t="s">
        <v>159</v>
      </c>
      <c r="D5" s="128" t="s">
        <v>159</v>
      </c>
      <c r="E5" s="129" t="s">
        <v>1156</v>
      </c>
      <c r="F5" s="129" t="s">
        <v>670</v>
      </c>
      <c r="G5" s="183" t="str">
        <f>IF(VLOOKUP(B5,'비품현황표(전체)'!$A$1:$F$273,6,FALSE)=0,"",VLOOKUP(B5,'비품현황표(전체)'!$A$1:$F$273,6,FALSE))</f>
        <v>유사발음</v>
      </c>
      <c r="H5" s="97">
        <v>2</v>
      </c>
    </row>
    <row r="6" spans="1:8" x14ac:dyDescent="0.15">
      <c r="A6" s="104">
        <v>5</v>
      </c>
      <c r="B6" s="128" t="s">
        <v>53</v>
      </c>
      <c r="C6" s="129" t="s">
        <v>130</v>
      </c>
      <c r="D6" s="128" t="s">
        <v>130</v>
      </c>
      <c r="E6" s="129"/>
      <c r="F6" s="129" t="s">
        <v>647</v>
      </c>
      <c r="G6" s="183" t="str">
        <f>IF(VLOOKUP(B6,'비품현황표(전체)'!$A$1:$F$273,6,FALSE)=0,"",VLOOKUP(B6,'비품현황표(전체)'!$A$1:$F$273,6,FALSE))</f>
        <v/>
      </c>
      <c r="H6" s="97">
        <v>3</v>
      </c>
    </row>
    <row r="7" spans="1:8" x14ac:dyDescent="0.15">
      <c r="A7" s="104">
        <v>6</v>
      </c>
      <c r="B7" s="326" t="s">
        <v>1330</v>
      </c>
      <c r="C7" s="327" t="s">
        <v>169</v>
      </c>
      <c r="D7" s="128" t="s">
        <v>169</v>
      </c>
      <c r="E7" s="327" t="s">
        <v>1329</v>
      </c>
      <c r="F7" s="327" t="s">
        <v>692</v>
      </c>
      <c r="G7" s="183" t="str">
        <f>IF(VLOOKUP(B7,'비품현황표(전체)'!$A$1:$F$273,6,FALSE)=0,"",VLOOKUP(B7,'비품현황표(전체)'!$A$1:$F$273,6,FALSE))</f>
        <v>유사모양</v>
      </c>
      <c r="H7" s="196">
        <v>1</v>
      </c>
    </row>
    <row r="8" spans="1:8" x14ac:dyDescent="0.15">
      <c r="A8" s="104">
        <v>7</v>
      </c>
      <c r="B8" s="326" t="s">
        <v>29</v>
      </c>
      <c r="C8" s="327" t="s">
        <v>171</v>
      </c>
      <c r="D8" s="128" t="s">
        <v>171</v>
      </c>
      <c r="E8" s="327"/>
      <c r="F8" s="327" t="s">
        <v>696</v>
      </c>
      <c r="G8" s="183" t="str">
        <f>IF(VLOOKUP(B8,'비품현황표(전체)'!$A$1:$F$273,6,FALSE)=0,"",VLOOKUP(B8,'비품현황표(전체)'!$A$1:$F$273,6,FALSE))</f>
        <v/>
      </c>
      <c r="H8" s="196">
        <v>3</v>
      </c>
    </row>
    <row r="9" spans="1:8" x14ac:dyDescent="0.15">
      <c r="A9" s="104">
        <v>8</v>
      </c>
      <c r="B9" s="326" t="s">
        <v>1331</v>
      </c>
      <c r="C9" s="327" t="s">
        <v>1332</v>
      </c>
      <c r="D9" s="128" t="s">
        <v>1332</v>
      </c>
      <c r="E9" s="327"/>
      <c r="F9" s="327" t="s">
        <v>713</v>
      </c>
      <c r="G9" s="183" t="str">
        <f>IF(VLOOKUP(B9,'비품현황표(전체)'!$A$1:$F$273,6,FALSE)=0,"",VLOOKUP(B9,'비품현황표(전체)'!$A$1:$F$273,6,FALSE))</f>
        <v/>
      </c>
      <c r="H9" s="196">
        <v>2</v>
      </c>
    </row>
    <row r="10" spans="1:8" x14ac:dyDescent="0.15">
      <c r="A10" s="104">
        <v>9</v>
      </c>
      <c r="B10" s="326" t="s">
        <v>1333</v>
      </c>
      <c r="C10" s="327" t="s">
        <v>136</v>
      </c>
      <c r="D10" s="128" t="s">
        <v>136</v>
      </c>
      <c r="E10" s="327"/>
      <c r="F10" s="327" t="s">
        <v>640</v>
      </c>
      <c r="G10" s="183" t="str">
        <f>IF(VLOOKUP(B10,'비품현황표(전체)'!$A$1:$F$273,6,FALSE)=0,"",VLOOKUP(B10,'비품현황표(전체)'!$A$1:$F$273,6,FALSE))</f>
        <v/>
      </c>
      <c r="H10" s="196">
        <v>2</v>
      </c>
    </row>
    <row r="11" spans="1:8" x14ac:dyDescent="0.15">
      <c r="A11" s="104">
        <v>10</v>
      </c>
      <c r="B11" s="326" t="s">
        <v>39</v>
      </c>
      <c r="C11" s="327" t="s">
        <v>134</v>
      </c>
      <c r="D11" s="128" t="s">
        <v>134</v>
      </c>
      <c r="E11" s="327" t="s">
        <v>1156</v>
      </c>
      <c r="F11" s="327" t="s">
        <v>718</v>
      </c>
      <c r="G11" s="183" t="str">
        <f>IF(VLOOKUP(B11,'비품현황표(전체)'!$A$1:$F$273,6,FALSE)=0,"",VLOOKUP(B11,'비품현황표(전체)'!$A$1:$F$273,6,FALSE))</f>
        <v>유사발음</v>
      </c>
      <c r="H11" s="196">
        <v>1</v>
      </c>
    </row>
    <row r="12" spans="1:8" x14ac:dyDescent="0.15">
      <c r="A12" s="104">
        <v>11</v>
      </c>
      <c r="B12" s="326" t="s">
        <v>1334</v>
      </c>
      <c r="C12" s="327" t="s">
        <v>1335</v>
      </c>
      <c r="D12" s="128" t="s">
        <v>1335</v>
      </c>
      <c r="E12" s="327"/>
      <c r="F12" s="327" t="s">
        <v>732</v>
      </c>
      <c r="G12" s="183" t="str">
        <f>IF(VLOOKUP(B12,'비품현황표(전체)'!$A$1:$F$273,6,FALSE)=0,"",VLOOKUP(B12,'비품현황표(전체)'!$A$1:$F$273,6,FALSE))</f>
        <v/>
      </c>
      <c r="H12" s="196">
        <v>1</v>
      </c>
    </row>
    <row r="13" spans="1:8" x14ac:dyDescent="0.15">
      <c r="A13" s="104">
        <v>12</v>
      </c>
      <c r="B13" s="149" t="s">
        <v>1336</v>
      </c>
      <c r="C13" s="149" t="s">
        <v>135</v>
      </c>
      <c r="D13" s="149" t="s">
        <v>135</v>
      </c>
      <c r="E13" s="138"/>
      <c r="F13" s="138" t="s">
        <v>639</v>
      </c>
      <c r="G13" s="183" t="str">
        <f>IF(VLOOKUP(B13,'비품현황표(전체)'!$A$1:$F$273,6,FALSE)=0,"",VLOOKUP(B13,'비품현황표(전체)'!$A$1:$F$273,6,FALSE))</f>
        <v/>
      </c>
      <c r="H13" s="139">
        <v>3</v>
      </c>
    </row>
    <row r="14" spans="1:8" x14ac:dyDescent="0.15">
      <c r="A14" s="81"/>
      <c r="B14" s="81"/>
      <c r="C14" s="81"/>
      <c r="D14" s="93" t="s">
        <v>804</v>
      </c>
      <c r="E14" s="81"/>
      <c r="F14" s="106"/>
      <c r="G14" s="58"/>
      <c r="H14" s="110">
        <v>12</v>
      </c>
    </row>
  </sheetData>
  <phoneticPr fontId="1" type="noConversion"/>
  <conditionalFormatting sqref="B2">
    <cfRule type="duplicateValues" dxfId="175" priority="1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&amp;C&amp;"돋움,굵게"82병동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8" sqref="G38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view="pageLayout" zoomScaleNormal="100" workbookViewId="0">
      <selection activeCell="H2" sqref="H2:H22"/>
    </sheetView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19.88671875" customWidth="1"/>
    <col min="5" max="5" width="6.109375" hidden="1" customWidth="1"/>
    <col min="6" max="6" width="25" customWidth="1"/>
    <col min="7" max="7" width="7.5546875" customWidth="1"/>
    <col min="8" max="8" width="11.4414062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84" t="s">
        <v>359</v>
      </c>
      <c r="H1" s="104" t="s">
        <v>1143</v>
      </c>
    </row>
    <row r="2" spans="1:8" x14ac:dyDescent="0.15">
      <c r="A2" s="118">
        <v>1</v>
      </c>
      <c r="B2" s="122" t="s">
        <v>791</v>
      </c>
      <c r="C2" s="118" t="s">
        <v>792</v>
      </c>
      <c r="D2" s="118" t="s">
        <v>793</v>
      </c>
      <c r="E2" s="122" t="s">
        <v>794</v>
      </c>
      <c r="F2" s="122" t="s">
        <v>795</v>
      </c>
      <c r="G2" s="117" t="str">
        <f>IF(VLOOKUP(B2,'비품현황표(전체)'!$A$1:$F$273,6,FALSE)=0,"",VLOOKUP(B2,'비품현황표(전체)'!$A$1:$F$273,6,FALSE))</f>
        <v/>
      </c>
      <c r="H2" s="119"/>
    </row>
    <row r="3" spans="1:8" x14ac:dyDescent="0.15">
      <c r="A3" s="96">
        <v>2</v>
      </c>
      <c r="B3" s="100" t="s">
        <v>109</v>
      </c>
      <c r="C3" s="100" t="s">
        <v>380</v>
      </c>
      <c r="D3" s="100" t="s">
        <v>141</v>
      </c>
      <c r="E3" s="100" t="s">
        <v>569</v>
      </c>
      <c r="F3" s="100" t="s">
        <v>642</v>
      </c>
      <c r="G3" s="101" t="str">
        <f>IF(VLOOKUP(B3,'비품현황표(전체)'!$A$1:$F$273,6,FALSE)=0,"",VLOOKUP(B3,'비품현황표(전체)'!$A$1:$F$273,6,FALSE))</f>
        <v>용량고주의</v>
      </c>
      <c r="H3" s="101"/>
    </row>
    <row r="4" spans="1:8" x14ac:dyDescent="0.15">
      <c r="A4" s="96">
        <v>3</v>
      </c>
      <c r="B4" s="128" t="s">
        <v>936</v>
      </c>
      <c r="C4" s="129"/>
      <c r="D4" s="129" t="s">
        <v>937</v>
      </c>
      <c r="E4" s="129"/>
      <c r="F4" s="133" t="s">
        <v>938</v>
      </c>
      <c r="G4" s="97" t="str">
        <f>IF(VLOOKUP(B4,'비품현황표(전체)'!$A$1:$F$273,6,FALSE)=0,"",VLOOKUP(B4,'비품현황표(전체)'!$A$1:$F$273,6,FALSE))</f>
        <v/>
      </c>
      <c r="H4" s="97"/>
    </row>
    <row r="5" spans="1:8" x14ac:dyDescent="0.15">
      <c r="A5" s="96">
        <v>4</v>
      </c>
      <c r="B5" s="128" t="s">
        <v>76</v>
      </c>
      <c r="C5" s="129" t="s">
        <v>497</v>
      </c>
      <c r="D5" s="129" t="s">
        <v>129</v>
      </c>
      <c r="E5" s="129" t="s">
        <v>554</v>
      </c>
      <c r="F5" s="129" t="s">
        <v>648</v>
      </c>
      <c r="G5" s="97" t="str">
        <f>IF(VLOOKUP(B5,'비품현황표(전체)'!$A$1:$F$273,6,FALSE)=0,"",VLOOKUP(B5,'비품현황표(전체)'!$A$1:$F$273,6,FALSE))</f>
        <v/>
      </c>
      <c r="H5" s="97"/>
    </row>
    <row r="6" spans="1:8" x14ac:dyDescent="0.15">
      <c r="A6" s="96">
        <v>5</v>
      </c>
      <c r="B6" s="95" t="s">
        <v>837</v>
      </c>
      <c r="C6" s="96" t="s">
        <v>392</v>
      </c>
      <c r="D6" s="96" t="s">
        <v>497</v>
      </c>
      <c r="E6" s="96" t="s">
        <v>554</v>
      </c>
      <c r="F6" s="96" t="s">
        <v>648</v>
      </c>
      <c r="G6" s="97" t="e">
        <f>IF(VLOOKUP(B6,'비품현황표(전체)'!$A$1:$F$273,6,FALSE)=0,"",VLOOKUP(B6,'비품현황표(전체)'!$A$1:$F$273,6,FALSE))</f>
        <v>#N/A</v>
      </c>
      <c r="H6" s="98"/>
    </row>
    <row r="7" spans="1:8" x14ac:dyDescent="0.15">
      <c r="A7" s="96">
        <v>6</v>
      </c>
      <c r="B7" s="128" t="s">
        <v>28</v>
      </c>
      <c r="C7" s="129" t="s">
        <v>394</v>
      </c>
      <c r="D7" s="129" t="s">
        <v>77</v>
      </c>
      <c r="E7" s="129" t="s">
        <v>556</v>
      </c>
      <c r="F7" s="129" t="s">
        <v>669</v>
      </c>
      <c r="G7" s="97" t="str">
        <f>IF(VLOOKUP(B7,'비품현황표(전체)'!$A$1:$F$273,6,FALSE)=0,"",VLOOKUP(B7,'비품현황표(전체)'!$A$1:$F$273,6,FALSE))</f>
        <v/>
      </c>
      <c r="H7" s="97"/>
    </row>
    <row r="8" spans="1:8" x14ac:dyDescent="0.15">
      <c r="A8" s="96">
        <v>7</v>
      </c>
      <c r="B8" s="99" t="s">
        <v>60</v>
      </c>
      <c r="C8" s="100" t="s">
        <v>395</v>
      </c>
      <c r="D8" s="100" t="s">
        <v>159</v>
      </c>
      <c r="E8" s="100" t="s">
        <v>556</v>
      </c>
      <c r="F8" s="100" t="s">
        <v>670</v>
      </c>
      <c r="G8" s="101" t="str">
        <f>IF(VLOOKUP(B8,'비품현황표(전체)'!$A$1:$F$273,6,FALSE)=0,"",VLOOKUP(B8,'비품현황표(전체)'!$A$1:$F$273,6,FALSE))</f>
        <v>유사발음</v>
      </c>
      <c r="H8" s="101"/>
    </row>
    <row r="9" spans="1:8" x14ac:dyDescent="0.15">
      <c r="A9" s="96">
        <v>8</v>
      </c>
      <c r="B9" s="129" t="s">
        <v>89</v>
      </c>
      <c r="C9" s="129" t="s">
        <v>506</v>
      </c>
      <c r="D9" s="129" t="s">
        <v>99</v>
      </c>
      <c r="E9" s="129" t="s">
        <v>585</v>
      </c>
      <c r="F9" s="129" t="s">
        <v>643</v>
      </c>
      <c r="G9" s="97" t="str">
        <f>IF(VLOOKUP(B9,'비품현황표(전체)'!$A$1:$F$273,6,FALSE)=0,"",VLOOKUP(B9,'비품현황표(전체)'!$A$1:$F$273,6,FALSE))</f>
        <v/>
      </c>
      <c r="H9" s="97"/>
    </row>
    <row r="10" spans="1:8" x14ac:dyDescent="0.15">
      <c r="A10" s="96">
        <v>9</v>
      </c>
      <c r="B10" s="100" t="s">
        <v>330</v>
      </c>
      <c r="C10" s="100" t="s">
        <v>105</v>
      </c>
      <c r="D10" s="100" t="s">
        <v>329</v>
      </c>
      <c r="E10" s="100" t="s">
        <v>554</v>
      </c>
      <c r="F10" s="100" t="s">
        <v>655</v>
      </c>
      <c r="G10" s="101" t="str">
        <f>IF(VLOOKUP(B10,'비품현황표(전체)'!$A$1:$F$273,6,FALSE)=0,"",VLOOKUP(B10,'비품현황표(전체)'!$A$1:$F$273,6,FALSE))</f>
        <v>유사발음</v>
      </c>
      <c r="H10" s="101"/>
    </row>
    <row r="11" spans="1:8" x14ac:dyDescent="0.15">
      <c r="A11" s="96">
        <v>10</v>
      </c>
      <c r="B11" s="96" t="s">
        <v>838</v>
      </c>
      <c r="C11" s="100" t="s">
        <v>420</v>
      </c>
      <c r="D11" s="96" t="s">
        <v>137</v>
      </c>
      <c r="E11" s="100" t="s">
        <v>556</v>
      </c>
      <c r="F11" s="96" t="s">
        <v>679</v>
      </c>
      <c r="G11" s="97" t="str">
        <f>IF(VLOOKUP(B11,'비품현황표(전체)'!$A$1:$F$273,6,FALSE)=0,"",VLOOKUP(B11,'비품현황표(전체)'!$A$1:$F$273,6,FALSE))</f>
        <v/>
      </c>
      <c r="H11" s="98"/>
    </row>
    <row r="12" spans="1:8" x14ac:dyDescent="0.15">
      <c r="A12" s="96">
        <v>11</v>
      </c>
      <c r="B12" s="95" t="s">
        <v>67</v>
      </c>
      <c r="C12" s="96" t="s">
        <v>417</v>
      </c>
      <c r="D12" s="96" t="s">
        <v>192</v>
      </c>
      <c r="E12" s="96" t="s">
        <v>554</v>
      </c>
      <c r="F12" s="96" t="s">
        <v>685</v>
      </c>
      <c r="G12" s="97" t="str">
        <f>IF(VLOOKUP(B12,'비품현황표(전체)'!$A$1:$F$273,6,FALSE)=0,"",VLOOKUP(B12,'비품현황표(전체)'!$A$1:$F$273,6,FALSE))</f>
        <v/>
      </c>
      <c r="H12" s="98"/>
    </row>
    <row r="13" spans="1:8" x14ac:dyDescent="0.15">
      <c r="A13" s="96">
        <v>12</v>
      </c>
      <c r="B13" s="129" t="s">
        <v>53</v>
      </c>
      <c r="C13" s="129" t="s">
        <v>421</v>
      </c>
      <c r="D13" s="129" t="s">
        <v>130</v>
      </c>
      <c r="E13" s="129" t="s">
        <v>556</v>
      </c>
      <c r="F13" s="129" t="s">
        <v>647</v>
      </c>
      <c r="G13" s="97" t="str">
        <f>IF(VLOOKUP(B13,'비품현황표(전체)'!$A$1:$F$273,6,FALSE)=0,"",VLOOKUP(B13,'비품현황표(전체)'!$A$1:$F$273,6,FALSE))</f>
        <v/>
      </c>
      <c r="H13" s="97"/>
    </row>
    <row r="14" spans="1:8" x14ac:dyDescent="0.15">
      <c r="A14" s="96">
        <v>13</v>
      </c>
      <c r="B14" s="99" t="s">
        <v>63</v>
      </c>
      <c r="C14" s="100" t="s">
        <v>422</v>
      </c>
      <c r="D14" s="100" t="s">
        <v>169</v>
      </c>
      <c r="E14" s="100" t="s">
        <v>556</v>
      </c>
      <c r="F14" s="100" t="s">
        <v>692</v>
      </c>
      <c r="G14" s="101" t="str">
        <f>IF(VLOOKUP(B14,'비품현황표(전체)'!$A$1:$F$273,6,FALSE)=0,"",VLOOKUP(B14,'비품현황표(전체)'!$A$1:$F$273,6,FALSE))</f>
        <v>유사모양</v>
      </c>
      <c r="H14" s="97"/>
    </row>
    <row r="15" spans="1:8" x14ac:dyDescent="0.15">
      <c r="A15" s="96">
        <v>14</v>
      </c>
      <c r="B15" s="128" t="s">
        <v>29</v>
      </c>
      <c r="C15" s="129" t="s">
        <v>549</v>
      </c>
      <c r="D15" s="129" t="s">
        <v>171</v>
      </c>
      <c r="E15" s="129" t="s">
        <v>554</v>
      </c>
      <c r="F15" s="129" t="s">
        <v>696</v>
      </c>
      <c r="G15" s="97" t="str">
        <f>IF(VLOOKUP(B15,'비품현황표(전체)'!$A$1:$F$273,6,FALSE)=0,"",VLOOKUP(B15,'비품현황표(전체)'!$A$1:$F$273,6,FALSE))</f>
        <v/>
      </c>
      <c r="H15" s="97"/>
    </row>
    <row r="16" spans="1:8" x14ac:dyDescent="0.15">
      <c r="A16" s="96">
        <v>15</v>
      </c>
      <c r="B16" s="161" t="s">
        <v>368</v>
      </c>
      <c r="C16" s="129" t="s">
        <v>439</v>
      </c>
      <c r="D16" s="162" t="s">
        <v>337</v>
      </c>
      <c r="E16" s="129" t="s">
        <v>556</v>
      </c>
      <c r="F16" s="129" t="s">
        <v>755</v>
      </c>
      <c r="G16" s="97" t="str">
        <f>IF(VLOOKUP(B16,'비품현황표(전체)'!$A$1:$F$273,6,FALSE)=0,"",VLOOKUP(B16,'비품현황표(전체)'!$A$1:$F$273,6,FALSE))</f>
        <v/>
      </c>
      <c r="H16" s="97"/>
    </row>
    <row r="17" spans="1:8" x14ac:dyDescent="0.15">
      <c r="A17" s="96">
        <v>16</v>
      </c>
      <c r="B17" s="128" t="s">
        <v>4</v>
      </c>
      <c r="C17" s="129" t="s">
        <v>453</v>
      </c>
      <c r="D17" s="129" t="s">
        <v>131</v>
      </c>
      <c r="E17" s="129" t="s">
        <v>610</v>
      </c>
      <c r="F17" s="129" t="s">
        <v>655</v>
      </c>
      <c r="G17" s="97" t="str">
        <f>IF(VLOOKUP(B17,'비품현황표(전체)'!$A$1:$F$273,6,FALSE)=0,"",VLOOKUP(B17,'비품현황표(전체)'!$A$1:$F$273,6,FALSE))</f>
        <v/>
      </c>
      <c r="H17" s="97"/>
    </row>
    <row r="18" spans="1:8" x14ac:dyDescent="0.15">
      <c r="A18" s="96">
        <v>17</v>
      </c>
      <c r="B18" s="128" t="s">
        <v>71</v>
      </c>
      <c r="C18" s="129" t="s">
        <v>454</v>
      </c>
      <c r="D18" s="129" t="s">
        <v>79</v>
      </c>
      <c r="E18" s="129" t="s">
        <v>561</v>
      </c>
      <c r="F18" s="129" t="s">
        <v>704</v>
      </c>
      <c r="G18" s="97" t="str">
        <f>IF(VLOOKUP(B18,'비품현황표(전체)'!$A$1:$F$273,6,FALSE)=0,"",VLOOKUP(B18,'비품현황표(전체)'!$A$1:$F$273,6,FALSE))</f>
        <v/>
      </c>
      <c r="H18" s="97"/>
    </row>
    <row r="19" spans="1:8" x14ac:dyDescent="0.15">
      <c r="A19" s="96">
        <v>18</v>
      </c>
      <c r="B19" s="95" t="s">
        <v>234</v>
      </c>
      <c r="C19" s="96" t="s">
        <v>452</v>
      </c>
      <c r="D19" s="96" t="s">
        <v>136</v>
      </c>
      <c r="E19" s="96" t="s">
        <v>560</v>
      </c>
      <c r="F19" s="96" t="s">
        <v>640</v>
      </c>
      <c r="G19" s="97"/>
      <c r="H19" s="97"/>
    </row>
    <row r="20" spans="1:8" x14ac:dyDescent="0.15">
      <c r="A20" s="96">
        <v>19</v>
      </c>
      <c r="B20" s="128" t="s">
        <v>19</v>
      </c>
      <c r="C20" s="129" t="s">
        <v>455</v>
      </c>
      <c r="D20" s="129" t="s">
        <v>1093</v>
      </c>
      <c r="E20" s="129" t="s">
        <v>561</v>
      </c>
      <c r="F20" s="129" t="s">
        <v>715</v>
      </c>
      <c r="G20" s="97" t="e">
        <f>IF(VLOOKUP(B20,'비품현황표(전체)'!$A$1:$F$273,6,FALSE)=0,"",VLOOKUP(B20,'비품현황표(전체)'!$A$1:$F$273,6,FALSE))</f>
        <v>#N/A</v>
      </c>
      <c r="H20" s="97"/>
    </row>
    <row r="21" spans="1:8" x14ac:dyDescent="0.15">
      <c r="A21" s="96">
        <v>20</v>
      </c>
      <c r="B21" s="100" t="s">
        <v>39</v>
      </c>
      <c r="C21" s="120" t="s">
        <v>482</v>
      </c>
      <c r="D21" s="100" t="s">
        <v>134</v>
      </c>
      <c r="E21" s="120" t="s">
        <v>569</v>
      </c>
      <c r="F21" s="100" t="s">
        <v>718</v>
      </c>
      <c r="G21" s="101" t="str">
        <f>IF(VLOOKUP(B21,'비품현황표(전체)'!$A$1:$F$273,6,FALSE)=0,"",VLOOKUP(B21,'비품현황표(전체)'!$A$1:$F$273,6,FALSE))</f>
        <v>유사발음</v>
      </c>
      <c r="H21" s="101"/>
    </row>
    <row r="22" spans="1:8" x14ac:dyDescent="0.15">
      <c r="A22" s="92">
        <v>21</v>
      </c>
      <c r="B22" s="107" t="s">
        <v>27</v>
      </c>
      <c r="C22" s="82"/>
      <c r="D22" s="108" t="s">
        <v>135</v>
      </c>
      <c r="E22" s="82"/>
      <c r="F22" s="108" t="s">
        <v>639</v>
      </c>
      <c r="G22" s="139" t="str">
        <f>IF(VLOOKUP(B22,'비품현황표(전체)'!$A$1:$F$273,6,FALSE)=0,"",VLOOKUP(B22,'비품현황표(전체)'!$A$1:$F$273,6,FALSE))</f>
        <v/>
      </c>
      <c r="H22" s="109"/>
    </row>
    <row r="23" spans="1:8" x14ac:dyDescent="0.15">
      <c r="A23" s="81"/>
      <c r="B23" s="81"/>
      <c r="C23" s="81"/>
      <c r="D23" s="93" t="s">
        <v>804</v>
      </c>
      <c r="E23" s="81"/>
      <c r="F23" s="106"/>
      <c r="G23" s="81"/>
      <c r="H23" s="110">
        <v>21</v>
      </c>
    </row>
  </sheetData>
  <phoneticPr fontId="1" type="noConversion"/>
  <conditionalFormatting sqref="B12">
    <cfRule type="duplicateValues" dxfId="174" priority="3"/>
  </conditionalFormatting>
  <conditionalFormatting sqref="B19">
    <cfRule type="duplicateValues" dxfId="173" priority="2"/>
  </conditionalFormatting>
  <conditionalFormatting sqref="B14">
    <cfRule type="duplicateValues" dxfId="172" priority="1"/>
  </conditionalFormatting>
  <pageMargins left="0.7" right="0.7" top="0.75" bottom="0.75" header="0.3" footer="0.3"/>
  <pageSetup paperSize="9" orientation="portrait" r:id="rId1"/>
  <headerFooter>
    <oddHeader>&amp;C&amp;"돋움,굵게"91병동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view="pageLayout" zoomScaleNormal="100" workbookViewId="0">
      <selection activeCell="H1" sqref="H1"/>
    </sheetView>
  </sheetViews>
  <sheetFormatPr defaultRowHeight="13.5" x14ac:dyDescent="0.15"/>
  <cols>
    <col min="1" max="1" width="3.66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5546875" customWidth="1"/>
    <col min="7" max="7" width="7.5546875" customWidth="1"/>
    <col min="8" max="8" width="6.554687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84" t="s">
        <v>359</v>
      </c>
      <c r="H1" s="104" t="s">
        <v>1277</v>
      </c>
    </row>
    <row r="2" spans="1:8" x14ac:dyDescent="0.15">
      <c r="A2" s="141">
        <v>1</v>
      </c>
      <c r="B2" s="24" t="s">
        <v>791</v>
      </c>
      <c r="C2" s="2" t="s">
        <v>792</v>
      </c>
      <c r="D2" s="2" t="s">
        <v>793</v>
      </c>
      <c r="E2" s="5" t="s">
        <v>794</v>
      </c>
      <c r="F2" s="5" t="s">
        <v>795</v>
      </c>
      <c r="G2" s="103"/>
      <c r="H2" s="104">
        <v>2</v>
      </c>
    </row>
    <row r="3" spans="1:8" x14ac:dyDescent="0.15">
      <c r="A3" s="141">
        <v>2</v>
      </c>
      <c r="B3" s="130" t="s">
        <v>936</v>
      </c>
      <c r="C3" s="131"/>
      <c r="D3" s="131" t="s">
        <v>937</v>
      </c>
      <c r="E3" s="131"/>
      <c r="F3" s="127" t="s">
        <v>938</v>
      </c>
      <c r="G3" s="117" t="str">
        <f>IF(VLOOKUP(B3,'비품현황표(전체)'!$A$1:$F$273,6,FALSE)=0,"",VLOOKUP(B3,'비품현황표(전체)'!$A$1:$F$273,6,FALSE))</f>
        <v/>
      </c>
      <c r="H3" s="117">
        <v>2</v>
      </c>
    </row>
    <row r="4" spans="1:8" x14ac:dyDescent="0.15">
      <c r="A4" s="141">
        <v>3</v>
      </c>
      <c r="B4" s="128" t="s">
        <v>76</v>
      </c>
      <c r="C4" s="129" t="s">
        <v>387</v>
      </c>
      <c r="D4" s="129" t="s">
        <v>129</v>
      </c>
      <c r="E4" s="129" t="s">
        <v>554</v>
      </c>
      <c r="F4" s="129" t="s">
        <v>648</v>
      </c>
      <c r="G4" s="97" t="str">
        <f>IF(VLOOKUP(B4,'비품현황표(전체)'!$A$1:$F$273,6,FALSE)=0,"",VLOOKUP(B4,'비품현황표(전체)'!$A$1:$F$273,6,FALSE))</f>
        <v/>
      </c>
      <c r="H4" s="97">
        <v>2</v>
      </c>
    </row>
    <row r="5" spans="1:8" x14ac:dyDescent="0.15">
      <c r="A5" s="141">
        <v>4</v>
      </c>
      <c r="B5" s="95" t="s">
        <v>1276</v>
      </c>
      <c r="C5" s="96" t="s">
        <v>497</v>
      </c>
      <c r="D5" s="96" t="s">
        <v>497</v>
      </c>
      <c r="E5" s="96" t="s">
        <v>554</v>
      </c>
      <c r="F5" s="96" t="s">
        <v>648</v>
      </c>
      <c r="G5" s="97" t="str">
        <f>IF(VLOOKUP(B5,'비품현황표(전체)'!$A$1:$F$273,6,FALSE)=0,"",VLOOKUP(B5,'비품현황표(전체)'!$A$1:$F$273,6,FALSE))</f>
        <v/>
      </c>
      <c r="H5" s="98">
        <v>2</v>
      </c>
    </row>
    <row r="6" spans="1:8" x14ac:dyDescent="0.15">
      <c r="A6" s="141">
        <v>5</v>
      </c>
      <c r="B6" s="128" t="s">
        <v>28</v>
      </c>
      <c r="C6" s="129" t="s">
        <v>392</v>
      </c>
      <c r="D6" s="129" t="s">
        <v>77</v>
      </c>
      <c r="E6" s="129" t="s">
        <v>554</v>
      </c>
      <c r="F6" s="129" t="s">
        <v>669</v>
      </c>
      <c r="G6" s="97" t="str">
        <f>IF(VLOOKUP(B6,'비품현황표(전체)'!$A$1:$F$273,6,FALSE)=0,"",VLOOKUP(B6,'비품현황표(전체)'!$A$1:$F$273,6,FALSE))</f>
        <v/>
      </c>
      <c r="H6" s="97">
        <v>8</v>
      </c>
    </row>
    <row r="7" spans="1:8" x14ac:dyDescent="0.15">
      <c r="A7" s="141">
        <v>6</v>
      </c>
      <c r="B7" s="99" t="s">
        <v>60</v>
      </c>
      <c r="C7" s="100" t="s">
        <v>394</v>
      </c>
      <c r="D7" s="100" t="s">
        <v>159</v>
      </c>
      <c r="E7" s="100" t="s">
        <v>556</v>
      </c>
      <c r="F7" s="100" t="s">
        <v>670</v>
      </c>
      <c r="G7" s="101" t="str">
        <f>IF(VLOOKUP(B7,'비품현황표(전체)'!$A$1:$F$273,6,FALSE)=0,"",VLOOKUP(B7,'비품현황표(전체)'!$A$1:$F$273,6,FALSE))</f>
        <v>유사발음</v>
      </c>
      <c r="H7" s="101">
        <v>2</v>
      </c>
    </row>
    <row r="8" spans="1:8" x14ac:dyDescent="0.15">
      <c r="A8" s="141">
        <v>7</v>
      </c>
      <c r="B8" s="129" t="s">
        <v>89</v>
      </c>
      <c r="C8" s="129" t="s">
        <v>395</v>
      </c>
      <c r="D8" s="129" t="s">
        <v>99</v>
      </c>
      <c r="E8" s="129" t="s">
        <v>556</v>
      </c>
      <c r="F8" s="129" t="s">
        <v>643</v>
      </c>
      <c r="G8" s="97" t="str">
        <f>IF(VLOOKUP(B8,'비품현황표(전체)'!$A$1:$F$273,6,FALSE)=0,"",VLOOKUP(B8,'비품현황표(전체)'!$A$1:$F$273,6,FALSE))</f>
        <v/>
      </c>
      <c r="H8" s="97">
        <v>2</v>
      </c>
    </row>
    <row r="9" spans="1:8" x14ac:dyDescent="0.15">
      <c r="A9" s="141">
        <v>8</v>
      </c>
      <c r="B9" s="27" t="s">
        <v>330</v>
      </c>
      <c r="C9" s="11" t="s">
        <v>506</v>
      </c>
      <c r="D9" s="11" t="s">
        <v>329</v>
      </c>
      <c r="E9" s="11" t="s">
        <v>585</v>
      </c>
      <c r="F9" s="11" t="s">
        <v>655</v>
      </c>
      <c r="G9" s="101" t="s">
        <v>339</v>
      </c>
      <c r="H9" s="101">
        <v>2</v>
      </c>
    </row>
    <row r="10" spans="1:8" x14ac:dyDescent="0.15">
      <c r="A10" s="141">
        <v>9</v>
      </c>
      <c r="B10" s="129" t="s">
        <v>838</v>
      </c>
      <c r="C10" s="129" t="s">
        <v>105</v>
      </c>
      <c r="D10" s="129" t="s">
        <v>137</v>
      </c>
      <c r="E10" s="129" t="s">
        <v>554</v>
      </c>
      <c r="F10" s="129" t="s">
        <v>679</v>
      </c>
      <c r="G10" s="97" t="str">
        <f>IF(VLOOKUP(B10,'비품현황표(전체)'!$A$1:$F$273,6,FALSE)=0,"",VLOOKUP(B10,'비품현황표(전체)'!$A$1:$F$273,6,FALSE))</f>
        <v/>
      </c>
      <c r="H10" s="97">
        <v>2</v>
      </c>
    </row>
    <row r="11" spans="1:8" x14ac:dyDescent="0.15">
      <c r="A11" s="141">
        <v>10</v>
      </c>
      <c r="B11" s="129" t="s">
        <v>53</v>
      </c>
      <c r="C11" s="129" t="s">
        <v>420</v>
      </c>
      <c r="D11" s="129" t="s">
        <v>130</v>
      </c>
      <c r="E11" s="129" t="s">
        <v>556</v>
      </c>
      <c r="F11" s="129" t="s">
        <v>647</v>
      </c>
      <c r="G11" s="97" t="str">
        <f>IF(VLOOKUP(B11,'비품현황표(전체)'!$A$1:$F$273,6,FALSE)=0,"",VLOOKUP(B11,'비품현황표(전체)'!$A$1:$F$273,6,FALSE))</f>
        <v/>
      </c>
      <c r="H11" s="97">
        <v>2</v>
      </c>
    </row>
    <row r="12" spans="1:8" x14ac:dyDescent="0.15">
      <c r="A12" s="141">
        <v>11</v>
      </c>
      <c r="B12" s="99" t="s">
        <v>63</v>
      </c>
      <c r="C12" s="100" t="s">
        <v>422</v>
      </c>
      <c r="D12" s="100" t="s">
        <v>169</v>
      </c>
      <c r="E12" s="100" t="s">
        <v>556</v>
      </c>
      <c r="F12" s="100" t="s">
        <v>692</v>
      </c>
      <c r="G12" s="101" t="str">
        <f>IF(VLOOKUP(B12,'비품현황표(전체)'!$A$1:$F$273,6,FALSE)=0,"",VLOOKUP(B12,'비품현황표(전체)'!$A$1:$F$273,6,FALSE))</f>
        <v>유사모양</v>
      </c>
      <c r="H12" s="101">
        <v>2</v>
      </c>
    </row>
    <row r="13" spans="1:8" x14ac:dyDescent="0.15">
      <c r="A13" s="141">
        <v>12</v>
      </c>
      <c r="B13" s="96" t="s">
        <v>24</v>
      </c>
      <c r="C13" s="96" t="s">
        <v>448</v>
      </c>
      <c r="D13" s="96" t="s">
        <v>138</v>
      </c>
      <c r="E13" s="96" t="s">
        <v>918</v>
      </c>
      <c r="F13" s="96" t="s">
        <v>710</v>
      </c>
      <c r="G13" s="97" t="str">
        <f>IF(VLOOKUP(B13,'비품현황표(전체)'!$A$1:$F$273,6,FALSE)=0,"",VLOOKUP(B13,'비품현황표(전체)'!$A$1:$F$273,6,FALSE))</f>
        <v/>
      </c>
      <c r="H13" s="97">
        <v>3</v>
      </c>
    </row>
    <row r="14" spans="1:8" x14ac:dyDescent="0.15">
      <c r="A14" s="141">
        <v>13</v>
      </c>
      <c r="B14" s="128" t="s">
        <v>29</v>
      </c>
      <c r="C14" s="129" t="s">
        <v>427</v>
      </c>
      <c r="D14" s="129" t="s">
        <v>171</v>
      </c>
      <c r="E14" s="129" t="s">
        <v>556</v>
      </c>
      <c r="F14" s="129" t="s">
        <v>696</v>
      </c>
      <c r="G14" s="97" t="str">
        <f>IF(VLOOKUP(B14,'비품현황표(전체)'!$A$1:$F$273,6,FALSE)=0,"",VLOOKUP(B14,'비품현황표(전체)'!$A$1:$F$273,6,FALSE))</f>
        <v/>
      </c>
      <c r="H14" s="97">
        <v>2</v>
      </c>
    </row>
    <row r="15" spans="1:8" x14ac:dyDescent="0.15">
      <c r="A15" s="141">
        <v>14</v>
      </c>
      <c r="B15" s="95" t="s">
        <v>234</v>
      </c>
      <c r="C15" s="96" t="s">
        <v>452</v>
      </c>
      <c r="D15" s="96" t="s">
        <v>136</v>
      </c>
      <c r="E15" s="96" t="s">
        <v>560</v>
      </c>
      <c r="F15" s="96" t="s">
        <v>640</v>
      </c>
      <c r="G15" s="97" t="str">
        <f>IF(VLOOKUP(B15,'비품현황표(전체)'!$A$1:$F$273,6,FALSE)=0,"",VLOOKUP(B15,'비품현황표(전체)'!$A$1:$F$273,6,FALSE))</f>
        <v/>
      </c>
      <c r="H15" s="97">
        <v>2</v>
      </c>
    </row>
    <row r="16" spans="1:8" x14ac:dyDescent="0.15">
      <c r="A16" s="141">
        <v>15</v>
      </c>
      <c r="B16" s="100" t="s">
        <v>39</v>
      </c>
      <c r="C16" s="100" t="s">
        <v>455</v>
      </c>
      <c r="D16" s="100" t="s">
        <v>134</v>
      </c>
      <c r="E16" s="100" t="s">
        <v>561</v>
      </c>
      <c r="F16" s="100" t="s">
        <v>718</v>
      </c>
      <c r="G16" s="101" t="str">
        <f>IF(VLOOKUP(B16,'비품현황표(전체)'!$A$1:$F$273,6,FALSE)=0,"",VLOOKUP(B16,'비품현황표(전체)'!$A$1:$F$273,6,FALSE))</f>
        <v>유사발음</v>
      </c>
      <c r="H16" s="101">
        <v>2</v>
      </c>
    </row>
    <row r="17" spans="1:8" x14ac:dyDescent="0.15">
      <c r="A17" s="141">
        <v>16</v>
      </c>
      <c r="B17" s="25" t="s">
        <v>235</v>
      </c>
      <c r="C17" s="2" t="s">
        <v>236</v>
      </c>
      <c r="D17" s="2" t="s">
        <v>236</v>
      </c>
      <c r="E17" s="320"/>
      <c r="F17" s="2" t="s">
        <v>732</v>
      </c>
      <c r="G17" s="321"/>
      <c r="H17" s="321">
        <v>2</v>
      </c>
    </row>
    <row r="18" spans="1:8" x14ac:dyDescent="0.15">
      <c r="A18" s="141">
        <v>17</v>
      </c>
      <c r="B18" s="107" t="s">
        <v>27</v>
      </c>
      <c r="C18" s="108" t="s">
        <v>475</v>
      </c>
      <c r="D18" s="108" t="s">
        <v>135</v>
      </c>
      <c r="E18" s="108" t="s">
        <v>556</v>
      </c>
      <c r="F18" s="108" t="s">
        <v>639</v>
      </c>
      <c r="G18" s="139" t="str">
        <f>IF(VLOOKUP(B18,'비품현황표(전체)'!$A$1:$F$273,6,FALSE)=0,"",VLOOKUP(B18,'비품현황표(전체)'!$A$1:$F$273,6,FALSE))</f>
        <v/>
      </c>
      <c r="H18" s="109">
        <v>5</v>
      </c>
    </row>
    <row r="19" spans="1:8" x14ac:dyDescent="0.15">
      <c r="A19" s="121"/>
      <c r="B19" s="81"/>
      <c r="C19" s="81"/>
      <c r="D19" s="93" t="s">
        <v>804</v>
      </c>
      <c r="E19" s="81"/>
      <c r="F19" s="106"/>
      <c r="G19" s="81"/>
      <c r="H19" s="110">
        <v>17</v>
      </c>
    </row>
  </sheetData>
  <phoneticPr fontId="1" type="noConversion"/>
  <conditionalFormatting sqref="B15">
    <cfRule type="duplicateValues" dxfId="171" priority="6"/>
  </conditionalFormatting>
  <conditionalFormatting sqref="B12">
    <cfRule type="duplicateValues" dxfId="170" priority="5"/>
  </conditionalFormatting>
  <conditionalFormatting sqref="B13">
    <cfRule type="duplicateValues" dxfId="169" priority="4"/>
  </conditionalFormatting>
  <conditionalFormatting sqref="B9">
    <cfRule type="duplicateValues" dxfId="168" priority="3"/>
  </conditionalFormatting>
  <conditionalFormatting sqref="B2">
    <cfRule type="duplicateValues" dxfId="167" priority="2"/>
  </conditionalFormatting>
  <conditionalFormatting sqref="B17">
    <cfRule type="duplicateValues" dxfId="166" priority="1"/>
  </conditionalFormatting>
  <pageMargins left="0.7" right="0.7" top="0.75" bottom="0.75" header="0.3" footer="0.3"/>
  <pageSetup paperSize="9" orientation="portrait" r:id="rId1"/>
  <headerFooter>
    <oddHeader>&amp;C&amp;"돋움,굵게"92병동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view="pageLayout" zoomScaleNormal="100" workbookViewId="0">
      <selection activeCell="H18" sqref="H18"/>
    </sheetView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7.8867187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632</v>
      </c>
      <c r="G1" s="84" t="s">
        <v>359</v>
      </c>
      <c r="H1" s="104" t="s">
        <v>1270</v>
      </c>
    </row>
    <row r="2" spans="1:8" x14ac:dyDescent="0.15">
      <c r="A2" s="118">
        <v>1</v>
      </c>
      <c r="B2" s="118" t="s">
        <v>35</v>
      </c>
      <c r="C2" s="118" t="s">
        <v>378</v>
      </c>
      <c r="D2" s="118" t="s">
        <v>149</v>
      </c>
      <c r="E2" s="118" t="s">
        <v>568</v>
      </c>
      <c r="F2" s="118" t="s">
        <v>646</v>
      </c>
      <c r="G2" s="183" t="str">
        <f>IF(VLOOKUP(B2,'비품현황표(전체)'!$A$1:$F$273,6,FALSE)=0,"",VLOOKUP(B2,'비품현황표(전체)'!$A$1:$F$273,6,FALSE))</f>
        <v/>
      </c>
      <c r="H2" s="119">
        <v>3</v>
      </c>
    </row>
    <row r="3" spans="1:8" x14ac:dyDescent="0.15">
      <c r="A3" s="118">
        <v>2</v>
      </c>
      <c r="B3" s="99" t="s">
        <v>6</v>
      </c>
      <c r="C3" s="100" t="s">
        <v>380</v>
      </c>
      <c r="D3" s="100" t="s">
        <v>128</v>
      </c>
      <c r="E3" s="100" t="s">
        <v>569</v>
      </c>
      <c r="F3" s="100" t="s">
        <v>648</v>
      </c>
      <c r="G3" s="183" t="str">
        <f>IF(VLOOKUP(B3,'비품현황표(전체)'!$A$1:$F$273,6,FALSE)=0,"",VLOOKUP(B3,'비품현황표(전체)'!$A$1:$F$273,6,FALSE))</f>
        <v>유사모양</v>
      </c>
      <c r="H3" s="101">
        <v>3</v>
      </c>
    </row>
    <row r="4" spans="1:8" x14ac:dyDescent="0.15">
      <c r="A4" s="118">
        <v>3</v>
      </c>
      <c r="B4" s="128" t="s">
        <v>936</v>
      </c>
      <c r="C4" s="129"/>
      <c r="D4" s="129" t="s">
        <v>937</v>
      </c>
      <c r="E4" s="129"/>
      <c r="F4" s="133" t="s">
        <v>938</v>
      </c>
      <c r="G4" s="183" t="str">
        <f>IF(VLOOKUP(B4,'비품현황표(전체)'!$A$1:$F$273,6,FALSE)=0,"",VLOOKUP(B4,'비품현황표(전체)'!$A$1:$F$273,6,FALSE))</f>
        <v/>
      </c>
      <c r="H4" s="97">
        <v>2</v>
      </c>
    </row>
    <row r="5" spans="1:8" x14ac:dyDescent="0.15">
      <c r="A5" s="118">
        <v>4</v>
      </c>
      <c r="B5" s="24" t="s">
        <v>69</v>
      </c>
      <c r="C5" s="2" t="s">
        <v>499</v>
      </c>
      <c r="D5" s="2" t="s">
        <v>836</v>
      </c>
      <c r="E5" s="2" t="s">
        <v>578</v>
      </c>
      <c r="F5" s="2" t="s">
        <v>640</v>
      </c>
      <c r="G5" s="183" t="str">
        <f>IF(VLOOKUP(B5,'비품현황표(전체)'!$A$1:$F$273,6,FALSE)=0,"",VLOOKUP(B5,'비품현황표(전체)'!$A$1:$F$273,6,FALSE))</f>
        <v/>
      </c>
      <c r="H5" s="97">
        <v>5</v>
      </c>
    </row>
    <row r="6" spans="1:8" x14ac:dyDescent="0.15">
      <c r="A6" s="118">
        <v>5</v>
      </c>
      <c r="B6" s="128" t="s">
        <v>28</v>
      </c>
      <c r="C6" s="129" t="s">
        <v>392</v>
      </c>
      <c r="D6" s="129" t="s">
        <v>77</v>
      </c>
      <c r="E6" s="129" t="s">
        <v>554</v>
      </c>
      <c r="F6" s="129" t="s">
        <v>669</v>
      </c>
      <c r="G6" s="183" t="str">
        <f>IF(VLOOKUP(B6,'비품현황표(전체)'!$A$1:$F$273,6,FALSE)=0,"",VLOOKUP(B6,'비품현황표(전체)'!$A$1:$F$273,6,FALSE))</f>
        <v/>
      </c>
      <c r="H6" s="97">
        <v>3</v>
      </c>
    </row>
    <row r="7" spans="1:8" x14ac:dyDescent="0.15">
      <c r="A7" s="118">
        <v>6</v>
      </c>
      <c r="B7" s="95" t="s">
        <v>67</v>
      </c>
      <c r="C7" s="96" t="s">
        <v>417</v>
      </c>
      <c r="D7" s="96" t="s">
        <v>192</v>
      </c>
      <c r="E7" s="96" t="s">
        <v>554</v>
      </c>
      <c r="F7" s="96" t="s">
        <v>685</v>
      </c>
      <c r="G7" s="183" t="str">
        <f>IF(VLOOKUP(B7,'비품현황표(전체)'!$A$1:$F$273,6,FALSE)=0,"",VLOOKUP(B7,'비품현황표(전체)'!$A$1:$F$273,6,FALSE))</f>
        <v/>
      </c>
      <c r="H7" s="98">
        <v>2</v>
      </c>
    </row>
    <row r="8" spans="1:8" x14ac:dyDescent="0.15">
      <c r="A8" s="118">
        <v>7</v>
      </c>
      <c r="B8" s="129" t="s">
        <v>53</v>
      </c>
      <c r="C8" s="129" t="s">
        <v>420</v>
      </c>
      <c r="D8" s="129" t="s">
        <v>130</v>
      </c>
      <c r="E8" s="129" t="s">
        <v>556</v>
      </c>
      <c r="F8" s="129" t="s">
        <v>647</v>
      </c>
      <c r="G8" s="183" t="str">
        <f>IF(VLOOKUP(B8,'비품현황표(전체)'!$A$1:$F$273,6,FALSE)=0,"",VLOOKUP(B8,'비품현황표(전체)'!$A$1:$F$273,6,FALSE))</f>
        <v/>
      </c>
      <c r="H8" s="97">
        <v>3</v>
      </c>
    </row>
    <row r="9" spans="1:8" x14ac:dyDescent="0.15">
      <c r="A9" s="118">
        <v>8</v>
      </c>
      <c r="B9" s="99" t="s">
        <v>63</v>
      </c>
      <c r="C9" s="100" t="s">
        <v>422</v>
      </c>
      <c r="D9" s="100" t="s">
        <v>169</v>
      </c>
      <c r="E9" s="100" t="s">
        <v>556</v>
      </c>
      <c r="F9" s="100" t="s">
        <v>692</v>
      </c>
      <c r="G9" s="183" t="str">
        <f>IF(VLOOKUP(B9,'비품현황표(전체)'!$A$1:$F$273,6,FALSE)=0,"",VLOOKUP(B9,'비품현황표(전체)'!$A$1:$F$273,6,FALSE))</f>
        <v>유사모양</v>
      </c>
      <c r="H9" s="101">
        <v>5</v>
      </c>
    </row>
    <row r="10" spans="1:8" x14ac:dyDescent="0.15">
      <c r="A10" s="118">
        <v>9</v>
      </c>
      <c r="B10" s="128" t="s">
        <v>29</v>
      </c>
      <c r="C10" s="129" t="s">
        <v>427</v>
      </c>
      <c r="D10" s="129" t="s">
        <v>171</v>
      </c>
      <c r="E10" s="129" t="s">
        <v>556</v>
      </c>
      <c r="F10" s="129" t="s">
        <v>696</v>
      </c>
      <c r="G10" s="183" t="str">
        <f>IF(VLOOKUP(B10,'비품현황표(전체)'!$A$1:$F$273,6,FALSE)=0,"",VLOOKUP(B10,'비품현황표(전체)'!$A$1:$F$273,6,FALSE))</f>
        <v/>
      </c>
      <c r="H10" s="97">
        <v>3</v>
      </c>
    </row>
    <row r="11" spans="1:8" x14ac:dyDescent="0.15">
      <c r="A11" s="118">
        <v>10</v>
      </c>
      <c r="B11" s="25" t="s">
        <v>24</v>
      </c>
      <c r="C11" s="2" t="s">
        <v>448</v>
      </c>
      <c r="D11" s="2" t="s">
        <v>138</v>
      </c>
      <c r="E11" s="2" t="s">
        <v>995</v>
      </c>
      <c r="F11" s="2" t="s">
        <v>710</v>
      </c>
      <c r="G11" s="183" t="str">
        <f>IF(VLOOKUP(B11,'비품현황표(전체)'!$A$1:$F$273,6,FALSE)=0,"",VLOOKUP(B11,'비품현황표(전체)'!$A$1:$F$273,6,FALSE))</f>
        <v/>
      </c>
      <c r="H11" s="97">
        <v>3</v>
      </c>
    </row>
    <row r="12" spans="1:8" x14ac:dyDescent="0.15">
      <c r="A12" s="118">
        <v>11</v>
      </c>
      <c r="B12" s="24" t="s">
        <v>234</v>
      </c>
      <c r="C12" s="2" t="s">
        <v>452</v>
      </c>
      <c r="D12" s="2" t="s">
        <v>136</v>
      </c>
      <c r="E12" s="2" t="s">
        <v>560</v>
      </c>
      <c r="F12" s="2" t="s">
        <v>640</v>
      </c>
      <c r="G12" s="183"/>
      <c r="H12" s="97">
        <v>2</v>
      </c>
    </row>
    <row r="13" spans="1:8" x14ac:dyDescent="0.15">
      <c r="A13" s="118">
        <v>12</v>
      </c>
      <c r="B13" s="100" t="s">
        <v>39</v>
      </c>
      <c r="C13" s="100" t="s">
        <v>455</v>
      </c>
      <c r="D13" s="100" t="s">
        <v>134</v>
      </c>
      <c r="E13" s="100" t="s">
        <v>561</v>
      </c>
      <c r="F13" s="100" t="s">
        <v>718</v>
      </c>
      <c r="G13" s="183" t="str">
        <f>IF(VLOOKUP(B13,'비품현황표(전체)'!$A$1:$F$273,6,FALSE)=0,"",VLOOKUP(B13,'비품현황표(전체)'!$A$1:$F$273,6,FALSE))</f>
        <v>유사발음</v>
      </c>
      <c r="H13" s="101">
        <v>1</v>
      </c>
    </row>
    <row r="14" spans="1:8" x14ac:dyDescent="0.15">
      <c r="A14" s="118">
        <v>13</v>
      </c>
      <c r="B14" s="99" t="s">
        <v>33</v>
      </c>
      <c r="C14" s="100" t="s">
        <v>459</v>
      </c>
      <c r="D14" s="100" t="s">
        <v>148</v>
      </c>
      <c r="E14" s="100" t="s">
        <v>612</v>
      </c>
      <c r="F14" s="100" t="s">
        <v>701</v>
      </c>
      <c r="G14" s="183" t="str">
        <f>IF(VLOOKUP(B14,'비품현황표(전체)'!$A$1:$F$273,6,FALSE)=0,"",VLOOKUP(B14,'비품현황표(전체)'!$A$1:$F$273,6,FALSE))</f>
        <v>유사모양</v>
      </c>
      <c r="H14" s="101">
        <v>3</v>
      </c>
    </row>
    <row r="15" spans="1:8" x14ac:dyDescent="0.15">
      <c r="A15" s="118">
        <v>14</v>
      </c>
      <c r="B15" s="95" t="s">
        <v>961</v>
      </c>
      <c r="C15" s="96" t="s">
        <v>553</v>
      </c>
      <c r="D15" s="96" t="s">
        <v>962</v>
      </c>
      <c r="E15" s="96" t="s">
        <v>619</v>
      </c>
      <c r="F15" s="96" t="s">
        <v>738</v>
      </c>
      <c r="G15" s="183" t="str">
        <f>IF(VLOOKUP(B15,'비품현황표(전체)'!$A$1:$F$273,6,FALSE)=0,"",VLOOKUP(B15,'비품현황표(전체)'!$A$1:$F$273,6,FALSE))</f>
        <v/>
      </c>
      <c r="H15" s="98">
        <v>3</v>
      </c>
    </row>
    <row r="16" spans="1:8" x14ac:dyDescent="0.15">
      <c r="A16" s="118">
        <v>15</v>
      </c>
      <c r="B16" s="95" t="s">
        <v>27</v>
      </c>
      <c r="C16" s="102" t="s">
        <v>475</v>
      </c>
      <c r="D16" s="102" t="s">
        <v>135</v>
      </c>
      <c r="E16" s="102" t="s">
        <v>556</v>
      </c>
      <c r="F16" s="102" t="s">
        <v>639</v>
      </c>
      <c r="G16" s="183" t="str">
        <f>IF(VLOOKUP(B16,'비품현황표(전체)'!$A$1:$F$273,6,FALSE)=0,"",VLOOKUP(B16,'비품현황표(전체)'!$A$1:$F$273,6,FALSE))</f>
        <v/>
      </c>
      <c r="H16" s="98">
        <v>3</v>
      </c>
    </row>
    <row r="17" spans="1:8" x14ac:dyDescent="0.15">
      <c r="A17" s="118">
        <v>16</v>
      </c>
      <c r="B17" s="107" t="s">
        <v>90</v>
      </c>
      <c r="C17" s="92" t="s">
        <v>486</v>
      </c>
      <c r="D17" s="92" t="s">
        <v>223</v>
      </c>
      <c r="E17" s="92" t="s">
        <v>622</v>
      </c>
      <c r="F17" s="92" t="s">
        <v>746</v>
      </c>
      <c r="G17" s="185" t="str">
        <f>IF(VLOOKUP(B17,'비품현황표(전체)'!$A$1:$F$273,6,FALSE)=0,"",VLOOKUP(B17,'비품현황표(전체)'!$A$1:$F$273,6,FALSE))</f>
        <v/>
      </c>
      <c r="H17" s="109">
        <v>2</v>
      </c>
    </row>
    <row r="18" spans="1:8" x14ac:dyDescent="0.15">
      <c r="A18" s="121"/>
      <c r="B18" s="81"/>
      <c r="C18" s="81"/>
      <c r="D18" s="93" t="s">
        <v>804</v>
      </c>
      <c r="E18" s="81"/>
      <c r="F18" s="106"/>
      <c r="G18" s="58"/>
      <c r="H18" s="110">
        <v>16</v>
      </c>
    </row>
  </sheetData>
  <sortState ref="B15:H16">
    <sortCondition ref="B15"/>
  </sortState>
  <phoneticPr fontId="1" type="noConversion"/>
  <conditionalFormatting sqref="G1:G1048576">
    <cfRule type="containsText" dxfId="165" priority="4" operator="containsText" text="유사">
      <formula>NOT(ISERROR(SEARCH("유사",G1)))</formula>
    </cfRule>
    <cfRule type="containsText" priority="5" operator="containsText" text="유사 용량">
      <formula>NOT(ISERROR(SEARCH("유사 용량",G1)))</formula>
    </cfRule>
    <cfRule type="containsText" dxfId="164" priority="6" operator="containsText" text="혼돈주의약품, 유사모양, 유사발음">
      <formula>NOT(ISERROR(SEARCH("혼돈주의약품, 유사모양, 유사발음",G1)))</formula>
    </cfRule>
  </conditionalFormatting>
  <conditionalFormatting sqref="B12">
    <cfRule type="duplicateValues" dxfId="163" priority="3"/>
  </conditionalFormatting>
  <conditionalFormatting sqref="B5">
    <cfRule type="duplicateValues" dxfId="162" priority="2"/>
  </conditionalFormatting>
  <conditionalFormatting sqref="B11">
    <cfRule type="duplicateValues" dxfId="161" priority="1"/>
  </conditionalFormatting>
  <pageMargins left="0.7" right="0.7" top="0.75" bottom="0.75" header="0.3" footer="0.3"/>
  <pageSetup paperSize="9" orientation="portrait" r:id="rId1"/>
  <headerFooter>
    <oddHeader>&amp;C&amp;"돋움,굵게"101병동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Layout" zoomScaleNormal="100" workbookViewId="0">
      <selection activeCell="H11" sqref="H11"/>
    </sheetView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21875" customWidth="1"/>
    <col min="7" max="7" width="7.5546875" customWidth="1"/>
    <col min="8" max="8" width="6.77734375" customWidth="1"/>
  </cols>
  <sheetData>
    <row r="1" spans="1:8" x14ac:dyDescent="0.15">
      <c r="A1" s="242" t="s">
        <v>367</v>
      </c>
      <c r="B1" s="242" t="s">
        <v>48</v>
      </c>
      <c r="C1" s="242" t="s">
        <v>49</v>
      </c>
      <c r="D1" s="242" t="s">
        <v>267</v>
      </c>
      <c r="E1" s="242" t="s">
        <v>50</v>
      </c>
      <c r="F1" s="242" t="s">
        <v>632</v>
      </c>
      <c r="G1" s="84" t="s">
        <v>359</v>
      </c>
      <c r="H1" s="242" t="s">
        <v>1367</v>
      </c>
    </row>
    <row r="2" spans="1:8" x14ac:dyDescent="0.15">
      <c r="A2" s="25">
        <v>1</v>
      </c>
      <c r="B2" s="129" t="s">
        <v>791</v>
      </c>
      <c r="C2" s="266" t="s">
        <v>792</v>
      </c>
      <c r="D2" s="266" t="s">
        <v>793</v>
      </c>
      <c r="E2" s="265" t="s">
        <v>794</v>
      </c>
      <c r="F2" s="265" t="s">
        <v>795</v>
      </c>
      <c r="G2" s="97"/>
      <c r="H2" s="267">
        <v>3</v>
      </c>
    </row>
    <row r="3" spans="1:8" x14ac:dyDescent="0.15">
      <c r="A3" s="25">
        <v>2</v>
      </c>
      <c r="B3" s="129" t="s">
        <v>936</v>
      </c>
      <c r="C3" s="1"/>
      <c r="D3" s="1" t="s">
        <v>937</v>
      </c>
      <c r="E3" s="1"/>
      <c r="F3" s="268" t="s">
        <v>938</v>
      </c>
      <c r="G3" s="97" t="str">
        <f>IF(VLOOKUP(B3,'비품현황표(전체)'!$A$1:$F$273,6,FALSE)=0,"",VLOOKUP(B3,'비품현황표(전체)'!$A$1:$F$273,6,FALSE))</f>
        <v/>
      </c>
      <c r="H3" s="255">
        <v>2</v>
      </c>
    </row>
    <row r="4" spans="1:8" x14ac:dyDescent="0.15">
      <c r="A4" s="25">
        <v>3</v>
      </c>
      <c r="B4" s="129" t="s">
        <v>28</v>
      </c>
      <c r="C4" s="1" t="s">
        <v>392</v>
      </c>
      <c r="D4" s="1" t="s">
        <v>77</v>
      </c>
      <c r="E4" s="1" t="s">
        <v>554</v>
      </c>
      <c r="F4" s="1" t="s">
        <v>669</v>
      </c>
      <c r="G4" s="97" t="str">
        <f>IF(VLOOKUP(B4,'비품현황표(전체)'!$A$1:$F$273,6,FALSE)=0,"",VLOOKUP(B4,'비품현황표(전체)'!$A$1:$F$273,6,FALSE))</f>
        <v/>
      </c>
      <c r="H4" s="255">
        <v>3</v>
      </c>
    </row>
    <row r="5" spans="1:8" x14ac:dyDescent="0.15">
      <c r="A5" s="25">
        <v>4</v>
      </c>
      <c r="B5" s="129" t="s">
        <v>53</v>
      </c>
      <c r="C5" s="129" t="s">
        <v>420</v>
      </c>
      <c r="D5" s="129" t="s">
        <v>130</v>
      </c>
      <c r="E5" s="129" t="s">
        <v>556</v>
      </c>
      <c r="F5" s="129" t="s">
        <v>647</v>
      </c>
      <c r="G5" s="97" t="str">
        <f>IF(VLOOKUP(B5,'비품현황표(전체)'!$A$1:$F$273,6,FALSE)=0,"",VLOOKUP(B5,'비품현황표(전체)'!$A$1:$F$273,6,FALSE))</f>
        <v/>
      </c>
      <c r="H5" s="97">
        <v>3</v>
      </c>
    </row>
    <row r="6" spans="1:8" x14ac:dyDescent="0.15">
      <c r="A6" s="25">
        <v>5</v>
      </c>
      <c r="B6" s="99" t="s">
        <v>63</v>
      </c>
      <c r="C6" s="100" t="s">
        <v>422</v>
      </c>
      <c r="D6" s="100" t="s">
        <v>169</v>
      </c>
      <c r="E6" s="100" t="s">
        <v>556</v>
      </c>
      <c r="F6" s="100" t="s">
        <v>692</v>
      </c>
      <c r="G6" s="97" t="str">
        <f>IF(VLOOKUP(B6,'비품현황표(전체)'!$A$1:$F$273,6,FALSE)=0,"",VLOOKUP(B6,'비품현황표(전체)'!$A$1:$F$273,6,FALSE))</f>
        <v>유사모양</v>
      </c>
      <c r="H6" s="101">
        <v>3</v>
      </c>
    </row>
    <row r="7" spans="1:8" x14ac:dyDescent="0.15">
      <c r="A7" s="25">
        <v>6</v>
      </c>
      <c r="B7" s="128" t="s">
        <v>29</v>
      </c>
      <c r="C7" s="129" t="s">
        <v>427</v>
      </c>
      <c r="D7" s="129" t="s">
        <v>171</v>
      </c>
      <c r="E7" s="129" t="s">
        <v>556</v>
      </c>
      <c r="F7" s="129" t="s">
        <v>696</v>
      </c>
      <c r="G7" s="97" t="str">
        <f>IF(VLOOKUP(B7,'비품현황표(전체)'!$A$1:$F$273,6,FALSE)=0,"",VLOOKUP(B7,'비품현황표(전체)'!$A$1:$F$273,6,FALSE))</f>
        <v/>
      </c>
      <c r="H7" s="97">
        <v>2</v>
      </c>
    </row>
    <row r="8" spans="1:8" x14ac:dyDescent="0.15">
      <c r="A8" s="25">
        <v>7</v>
      </c>
      <c r="B8" s="128" t="s">
        <v>234</v>
      </c>
      <c r="C8" s="129" t="s">
        <v>452</v>
      </c>
      <c r="D8" s="129" t="s">
        <v>136</v>
      </c>
      <c r="E8" s="129" t="s">
        <v>560</v>
      </c>
      <c r="F8" s="129" t="s">
        <v>640</v>
      </c>
      <c r="G8" s="97" t="str">
        <f>IF(VLOOKUP(B8,'비품현황표(전체)'!$A$1:$F$273,6,FALSE)=0,"",VLOOKUP(B8,'비품현황표(전체)'!$A$1:$F$273,6,FALSE))</f>
        <v/>
      </c>
      <c r="H8" s="97">
        <v>2</v>
      </c>
    </row>
    <row r="9" spans="1:8" x14ac:dyDescent="0.15">
      <c r="A9" s="25">
        <v>8</v>
      </c>
      <c r="B9" s="100" t="s">
        <v>39</v>
      </c>
      <c r="C9" s="100" t="s">
        <v>455</v>
      </c>
      <c r="D9" s="100" t="s">
        <v>134</v>
      </c>
      <c r="E9" s="100" t="s">
        <v>561</v>
      </c>
      <c r="F9" s="100" t="s">
        <v>718</v>
      </c>
      <c r="G9" s="97" t="str">
        <f>IF(VLOOKUP(B9,'비품현황표(전체)'!$A$1:$F$273,6,FALSE)=0,"",VLOOKUP(B9,'비품현황표(전체)'!$A$1:$F$273,6,FALSE))</f>
        <v>유사발음</v>
      </c>
      <c r="H9" s="101">
        <v>2</v>
      </c>
    </row>
    <row r="10" spans="1:8" s="231" customFormat="1" x14ac:dyDescent="0.15">
      <c r="A10" s="25">
        <v>9</v>
      </c>
      <c r="B10" s="24" t="s">
        <v>1368</v>
      </c>
      <c r="C10" s="2"/>
      <c r="D10" s="2" t="s">
        <v>1369</v>
      </c>
      <c r="E10" s="2"/>
      <c r="F10" s="71" t="s">
        <v>1370</v>
      </c>
      <c r="G10" s="98"/>
      <c r="H10" s="98">
        <v>1</v>
      </c>
    </row>
    <row r="11" spans="1:8" x14ac:dyDescent="0.15">
      <c r="A11" s="25">
        <v>10</v>
      </c>
      <c r="B11" s="95" t="s">
        <v>69</v>
      </c>
      <c r="C11" s="96" t="s">
        <v>499</v>
      </c>
      <c r="D11" s="96" t="s">
        <v>836</v>
      </c>
      <c r="E11" s="96" t="s">
        <v>578</v>
      </c>
      <c r="F11" s="96" t="s">
        <v>640</v>
      </c>
      <c r="G11" s="97" t="str">
        <f>IF(VLOOKUP(B12,'비품현황표(전체)'!$A$1:$F$273,6,FALSE)=0,"",VLOOKUP(B12,'비품현황표(전체)'!$A$1:$F$273,6,FALSE))</f>
        <v/>
      </c>
      <c r="H11" s="98">
        <v>4</v>
      </c>
    </row>
    <row r="12" spans="1:8" x14ac:dyDescent="0.15">
      <c r="A12" s="25">
        <v>11</v>
      </c>
      <c r="B12" s="244" t="s">
        <v>27</v>
      </c>
      <c r="C12" s="245" t="s">
        <v>475</v>
      </c>
      <c r="D12" s="245" t="s">
        <v>135</v>
      </c>
      <c r="E12" s="245" t="s">
        <v>556</v>
      </c>
      <c r="F12" s="245" t="s">
        <v>639</v>
      </c>
      <c r="G12" s="246"/>
      <c r="H12" s="247">
        <v>3</v>
      </c>
    </row>
    <row r="13" spans="1:8" x14ac:dyDescent="0.15">
      <c r="A13" s="87"/>
      <c r="B13" s="58"/>
      <c r="C13" s="58"/>
      <c r="D13" s="87" t="s">
        <v>804</v>
      </c>
      <c r="E13" s="58"/>
      <c r="F13" s="91"/>
      <c r="G13" s="58"/>
      <c r="H13" s="59">
        <v>11</v>
      </c>
    </row>
  </sheetData>
  <phoneticPr fontId="1" type="noConversion"/>
  <conditionalFormatting sqref="G2:G11">
    <cfRule type="containsText" dxfId="160" priority="6" operator="containsText" text="유사">
      <formula>NOT(ISERROR(SEARCH("유사",G2)))</formula>
    </cfRule>
    <cfRule type="containsText" priority="7" operator="containsText" text="유사 용량">
      <formula>NOT(ISERROR(SEARCH("유사 용량",G2)))</formula>
    </cfRule>
    <cfRule type="containsText" dxfId="159" priority="8" operator="containsText" text="혼돈주의약품, 유사모양, 유사발음">
      <formula>NOT(ISERROR(SEARCH("혼돈주의약품, 유사모양, 유사발음",G2)))</formula>
    </cfRule>
  </conditionalFormatting>
  <conditionalFormatting sqref="B6">
    <cfRule type="duplicateValues" dxfId="158" priority="5"/>
  </conditionalFormatting>
  <conditionalFormatting sqref="B11">
    <cfRule type="duplicateValues" dxfId="157" priority="4"/>
  </conditionalFormatting>
  <conditionalFormatting sqref="B2">
    <cfRule type="duplicateValues" dxfId="156" priority="3"/>
  </conditionalFormatting>
  <conditionalFormatting sqref="B10">
    <cfRule type="duplicateValues" dxfId="155" priority="1"/>
  </conditionalFormatting>
  <pageMargins left="0.7" right="0.7" top="0.75" bottom="0.75" header="0.3" footer="0.3"/>
  <pageSetup paperSize="9" orientation="portrait" r:id="rId1"/>
  <headerFooter>
    <oddHeader>&amp;C&amp;"돋움,굵게"102병동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view="pageLayout" zoomScaleNormal="100" workbookViewId="0">
      <selection activeCell="F15" sqref="F15"/>
    </sheetView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6.109375" customWidth="1"/>
  </cols>
  <sheetData>
    <row r="1" spans="1:8" x14ac:dyDescent="0.15">
      <c r="A1" s="242" t="s">
        <v>367</v>
      </c>
      <c r="B1" s="242" t="s">
        <v>48</v>
      </c>
      <c r="C1" s="242" t="s">
        <v>49</v>
      </c>
      <c r="D1" s="242" t="s">
        <v>267</v>
      </c>
      <c r="E1" s="242" t="s">
        <v>50</v>
      </c>
      <c r="F1" s="242" t="s">
        <v>749</v>
      </c>
      <c r="G1" s="84" t="s">
        <v>359</v>
      </c>
      <c r="H1" s="242" t="s">
        <v>1180</v>
      </c>
    </row>
    <row r="2" spans="1:8" x14ac:dyDescent="0.15">
      <c r="A2" s="248">
        <v>1</v>
      </c>
      <c r="B2" s="24" t="s">
        <v>791</v>
      </c>
      <c r="C2" s="2" t="s">
        <v>792</v>
      </c>
      <c r="D2" s="2" t="s">
        <v>793</v>
      </c>
      <c r="E2" s="5" t="s">
        <v>794</v>
      </c>
      <c r="F2" s="5" t="s">
        <v>795</v>
      </c>
      <c r="G2" s="117"/>
      <c r="H2" s="94">
        <v>1</v>
      </c>
    </row>
    <row r="3" spans="1:8" x14ac:dyDescent="0.15">
      <c r="A3" s="248">
        <v>2</v>
      </c>
      <c r="B3" s="302" t="s">
        <v>936</v>
      </c>
      <c r="C3" s="303" t="s">
        <v>939</v>
      </c>
      <c r="D3" s="302" t="s">
        <v>937</v>
      </c>
      <c r="E3" s="302" t="s">
        <v>940</v>
      </c>
      <c r="F3" s="304" t="s">
        <v>938</v>
      </c>
      <c r="G3" s="183"/>
      <c r="H3" s="94">
        <v>1</v>
      </c>
    </row>
    <row r="4" spans="1:8" x14ac:dyDescent="0.15">
      <c r="A4" s="248">
        <v>3</v>
      </c>
      <c r="B4" s="128" t="s">
        <v>28</v>
      </c>
      <c r="C4" s="129" t="s">
        <v>392</v>
      </c>
      <c r="D4" s="129" t="s">
        <v>77</v>
      </c>
      <c r="E4" s="129" t="s">
        <v>554</v>
      </c>
      <c r="F4" s="129" t="str">
        <f>VLOOKUP(B4,'비품현황표(전체)'!$A6:$AT275,5,FALSE)</f>
        <v>차광밀봉용기, 1~25℃보관</v>
      </c>
      <c r="G4" s="97" t="str">
        <f>IF(VLOOKUP(B4,'비품현황표(전체)'!$A$1:$F$273,6,FALSE)=0,"",VLOOKUP(B4,'비품현황표(전체)'!$A$1:$F$273,6,FALSE))</f>
        <v/>
      </c>
      <c r="H4" s="97">
        <v>6</v>
      </c>
    </row>
    <row r="5" spans="1:8" x14ac:dyDescent="0.15">
      <c r="A5" s="248">
        <v>4</v>
      </c>
      <c r="B5" s="129" t="s">
        <v>89</v>
      </c>
      <c r="C5" s="129" t="s">
        <v>395</v>
      </c>
      <c r="D5" s="129" t="s">
        <v>99</v>
      </c>
      <c r="E5" s="129" t="s">
        <v>556</v>
      </c>
      <c r="F5" s="129" t="str">
        <f>VLOOKUP(B5,'비품현황표(전체)'!$A7:$AT276,5,FALSE)</f>
        <v>차광밀봉용기, 실온(1~30℃)보관</v>
      </c>
      <c r="G5" s="97" t="str">
        <f>IF(VLOOKUP(B5,'비품현황표(전체)'!$A$1:$F$273,6,FALSE)=0,"",VLOOKUP(B5,'비품현황표(전체)'!$A$1:$F$273,6,FALSE))</f>
        <v/>
      </c>
      <c r="H5" s="97">
        <v>1</v>
      </c>
    </row>
    <row r="6" spans="1:8" x14ac:dyDescent="0.15">
      <c r="A6" s="248">
        <v>5</v>
      </c>
      <c r="B6" s="129" t="s">
        <v>53</v>
      </c>
      <c r="C6" s="129" t="s">
        <v>420</v>
      </c>
      <c r="D6" s="129" t="s">
        <v>130</v>
      </c>
      <c r="E6" s="129" t="s">
        <v>556</v>
      </c>
      <c r="F6" s="129" t="str">
        <f>VLOOKUP(B6,'비품현황표(전체)'!$A11:$AT278,5,FALSE)</f>
        <v>차광밀봉용기, 실온(1-30℃)보관</v>
      </c>
      <c r="G6" s="97" t="str">
        <f>IF(VLOOKUP(B6,'비품현황표(전체)'!$A$1:$F$273,6,FALSE)=0,"",VLOOKUP(B6,'비품현황표(전체)'!$A$1:$F$273,6,FALSE))</f>
        <v/>
      </c>
      <c r="H6" s="97">
        <v>3</v>
      </c>
    </row>
    <row r="7" spans="1:8" x14ac:dyDescent="0.15">
      <c r="A7" s="248">
        <v>6</v>
      </c>
      <c r="B7" s="99" t="s">
        <v>63</v>
      </c>
      <c r="C7" s="100" t="s">
        <v>422</v>
      </c>
      <c r="D7" s="100" t="s">
        <v>169</v>
      </c>
      <c r="E7" s="100" t="s">
        <v>556</v>
      </c>
      <c r="F7" s="100" t="s">
        <v>692</v>
      </c>
      <c r="G7" s="101" t="s">
        <v>341</v>
      </c>
      <c r="H7" s="101">
        <v>1</v>
      </c>
    </row>
    <row r="8" spans="1:8" x14ac:dyDescent="0.15">
      <c r="A8" s="248">
        <v>7</v>
      </c>
      <c r="B8" s="128" t="s">
        <v>29</v>
      </c>
      <c r="C8" s="129" t="s">
        <v>427</v>
      </c>
      <c r="D8" s="129" t="s">
        <v>171</v>
      </c>
      <c r="E8" s="129" t="s">
        <v>556</v>
      </c>
      <c r="F8" s="129" t="str">
        <f>VLOOKUP(B8,'비품현황표(전체)'!$A13:$AT279,5,FALSE)</f>
        <v>밀봉용기, 차광, 실온(1~30℃)보관</v>
      </c>
      <c r="G8" s="97" t="str">
        <f>IF(VLOOKUP(B8,'비품현황표(전체)'!$A$1:$F$273,6,FALSE)=0,"",VLOOKUP(B8,'비품현황표(전체)'!$A$1:$F$273,6,FALSE))</f>
        <v/>
      </c>
      <c r="H8" s="97">
        <v>3</v>
      </c>
    </row>
    <row r="9" spans="1:8" x14ac:dyDescent="0.15">
      <c r="A9" s="248">
        <v>8</v>
      </c>
      <c r="B9" s="95" t="s">
        <v>70</v>
      </c>
      <c r="C9" s="96" t="s">
        <v>438</v>
      </c>
      <c r="D9" s="96" t="s">
        <v>150</v>
      </c>
      <c r="E9" s="96" t="s">
        <v>602</v>
      </c>
      <c r="F9" s="96" t="str">
        <f>VLOOKUP(B9,'비품현황표(전체)'!$A13:$AT280,5,FALSE)</f>
        <v>기밀용기, 실온보관(1~30℃)</v>
      </c>
      <c r="G9" s="97" t="str">
        <f>IF(VLOOKUP(B9,'비품현황표(전체)'!$A$1:$F$273,6,FALSE)=0,"",VLOOKUP(B9,'비품현황표(전체)'!$A$1:$F$273,6,FALSE))</f>
        <v/>
      </c>
      <c r="H9" s="98">
        <v>1</v>
      </c>
    </row>
    <row r="10" spans="1:8" x14ac:dyDescent="0.15">
      <c r="A10" s="248">
        <v>9</v>
      </c>
      <c r="B10" s="95" t="s">
        <v>234</v>
      </c>
      <c r="C10" s="96" t="s">
        <v>452</v>
      </c>
      <c r="D10" s="96" t="s">
        <v>136</v>
      </c>
      <c r="E10" s="96" t="s">
        <v>560</v>
      </c>
      <c r="F10" s="96" t="s">
        <v>640</v>
      </c>
      <c r="G10" s="98"/>
      <c r="H10" s="98">
        <v>1</v>
      </c>
    </row>
    <row r="11" spans="1:8" x14ac:dyDescent="0.15">
      <c r="A11" s="248">
        <v>10</v>
      </c>
      <c r="B11" s="244" t="s">
        <v>27</v>
      </c>
      <c r="C11" s="245" t="s">
        <v>475</v>
      </c>
      <c r="D11" s="245" t="s">
        <v>135</v>
      </c>
      <c r="E11" s="245" t="s">
        <v>556</v>
      </c>
      <c r="F11" s="245" t="str">
        <f>VLOOKUP(B11,'비품현황표(전체)'!$A13:$AT282,5,FALSE)</f>
        <v>밀봉용기, 실온(1～30℃)보관</v>
      </c>
      <c r="G11" s="196" t="str">
        <f>IF(VLOOKUP(B11,'비품현황표(전체)'!$A$1:$F$273,6,FALSE)=0,"",VLOOKUP(B11,'비품현황표(전체)'!$A$1:$F$273,6,FALSE))</f>
        <v/>
      </c>
      <c r="H11" s="247">
        <v>2</v>
      </c>
    </row>
    <row r="12" spans="1:8" x14ac:dyDescent="0.15">
      <c r="A12" s="86"/>
      <c r="B12" s="58"/>
      <c r="C12" s="58"/>
      <c r="D12" s="87" t="s">
        <v>371</v>
      </c>
      <c r="E12" s="58"/>
      <c r="F12" s="58"/>
      <c r="G12" s="58"/>
      <c r="H12" s="59">
        <v>10</v>
      </c>
    </row>
  </sheetData>
  <phoneticPr fontId="1" type="noConversion"/>
  <conditionalFormatting sqref="G8:G9 G11 G4:G6">
    <cfRule type="containsText" dxfId="154" priority="6" operator="containsText" text="유사">
      <formula>NOT(ISERROR(SEARCH("유사",G4)))</formula>
    </cfRule>
    <cfRule type="containsText" priority="7" operator="containsText" text="유사 용량">
      <formula>NOT(ISERROR(SEARCH("유사 용량",G4)))</formula>
    </cfRule>
    <cfRule type="containsText" dxfId="153" priority="8" operator="containsText" text="혼돈주의약품, 유사모양, 유사발음">
      <formula>NOT(ISERROR(SEARCH("혼돈주의약품, 유사모양, 유사발음",G4)))</formula>
    </cfRule>
  </conditionalFormatting>
  <conditionalFormatting sqref="B10">
    <cfRule type="duplicateValues" dxfId="152" priority="5"/>
  </conditionalFormatting>
  <conditionalFormatting sqref="B7">
    <cfRule type="duplicateValues" dxfId="151" priority="4"/>
  </conditionalFormatting>
  <conditionalFormatting sqref="B3">
    <cfRule type="duplicateValues" dxfId="150" priority="3"/>
  </conditionalFormatting>
  <conditionalFormatting sqref="B2">
    <cfRule type="duplicateValues" dxfId="149" priority="1"/>
  </conditionalFormatting>
  <pageMargins left="0.7" right="0.7" top="0.75" bottom="0.75" header="0.3" footer="0.3"/>
  <pageSetup paperSize="9" orientation="portrait" r:id="rId1"/>
  <headerFooter>
    <oddHeader>&amp;C&amp;"돋움,굵게"111병동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view="pageLayout" zoomScaleNormal="100" workbookViewId="0">
      <selection activeCell="G11" sqref="G11"/>
    </sheetView>
  </sheetViews>
  <sheetFormatPr defaultRowHeight="13.5" x14ac:dyDescent="0.15"/>
  <cols>
    <col min="1" max="1" width="3.44140625" customWidth="1"/>
    <col min="3" max="3" width="3.77734375" hidden="1" customWidth="1"/>
    <col min="4" max="4" width="15.77734375" customWidth="1"/>
    <col min="5" max="5" width="24.88671875" customWidth="1"/>
  </cols>
  <sheetData>
    <row r="1" spans="1:7" ht="13.5" customHeight="1" x14ac:dyDescent="0.15">
      <c r="A1" s="104" t="s">
        <v>803</v>
      </c>
      <c r="B1" s="104" t="s">
        <v>48</v>
      </c>
      <c r="C1" s="104" t="s">
        <v>49</v>
      </c>
      <c r="D1" s="104" t="s">
        <v>267</v>
      </c>
      <c r="E1" s="105" t="s">
        <v>632</v>
      </c>
      <c r="F1" s="84" t="s">
        <v>359</v>
      </c>
      <c r="G1" s="104" t="s">
        <v>1016</v>
      </c>
    </row>
    <row r="2" spans="1:7" x14ac:dyDescent="0.15">
      <c r="A2" s="141">
        <v>1</v>
      </c>
      <c r="B2" s="130" t="s">
        <v>990</v>
      </c>
      <c r="C2" s="125"/>
      <c r="D2" s="131" t="s">
        <v>937</v>
      </c>
      <c r="E2" s="126" t="s">
        <v>938</v>
      </c>
      <c r="F2" s="183" t="str">
        <f>IF(VLOOKUP(B2,'비품현황표(전체)'!$A$1:$F$273,6,FALSE)=0,"",VLOOKUP(B2,'비품현황표(전체)'!$A$1:$F$273,6,FALSE))</f>
        <v/>
      </c>
      <c r="G2" s="146">
        <v>2</v>
      </c>
    </row>
    <row r="3" spans="1:7" x14ac:dyDescent="0.15">
      <c r="A3" s="141">
        <v>2</v>
      </c>
      <c r="B3" s="128" t="s">
        <v>28</v>
      </c>
      <c r="C3" s="129" t="s">
        <v>392</v>
      </c>
      <c r="D3" s="129" t="s">
        <v>77</v>
      </c>
      <c r="E3" s="129" t="s">
        <v>669</v>
      </c>
      <c r="F3" s="183" t="str">
        <f>IF(VLOOKUP(B3,'비품현황표(전체)'!$A$1:$F$273,6,FALSE)=0,"",VLOOKUP(B3,'비품현황표(전체)'!$A$1:$F$273,6,FALSE))</f>
        <v/>
      </c>
      <c r="G3" s="97">
        <v>5</v>
      </c>
    </row>
    <row r="4" spans="1:7" x14ac:dyDescent="0.15">
      <c r="A4" s="141">
        <v>3</v>
      </c>
      <c r="B4" s="95" t="s">
        <v>925</v>
      </c>
      <c r="C4" s="96"/>
      <c r="D4" s="96" t="s">
        <v>924</v>
      </c>
      <c r="E4" s="145" t="s">
        <v>660</v>
      </c>
      <c r="F4" s="183" t="str">
        <f>IF(VLOOKUP(B4,'비품현황표(전체)'!$A$1:$F$273,6,FALSE)=0,"",VLOOKUP(B4,'비품현황표(전체)'!$A$1:$F$273,6,FALSE))</f>
        <v/>
      </c>
      <c r="G4" s="98">
        <v>2</v>
      </c>
    </row>
    <row r="5" spans="1:7" x14ac:dyDescent="0.15">
      <c r="A5" s="141">
        <v>4</v>
      </c>
      <c r="B5" s="95" t="s">
        <v>927</v>
      </c>
      <c r="C5" s="96"/>
      <c r="D5" s="96" t="s">
        <v>926</v>
      </c>
      <c r="E5" s="145" t="s">
        <v>667</v>
      </c>
      <c r="F5" s="183" t="str">
        <f>IF(VLOOKUP(B5,'비품현황표(전체)'!$A$1:$F$273,6,FALSE)=0,"",VLOOKUP(B5,'비품현황표(전체)'!$A$1:$F$273,6,FALSE))</f>
        <v/>
      </c>
      <c r="G5" s="98">
        <v>2</v>
      </c>
    </row>
    <row r="6" spans="1:7" x14ac:dyDescent="0.15">
      <c r="A6" s="141">
        <v>5</v>
      </c>
      <c r="B6" s="129" t="s">
        <v>53</v>
      </c>
      <c r="C6" s="129" t="s">
        <v>420</v>
      </c>
      <c r="D6" s="129" t="s">
        <v>130</v>
      </c>
      <c r="E6" s="129" t="s">
        <v>647</v>
      </c>
      <c r="F6" s="183" t="str">
        <f>IF(VLOOKUP(B6,'비품현황표(전체)'!$A$1:$F$273,6,FALSE)=0,"",VLOOKUP(B6,'비품현황표(전체)'!$A$1:$F$273,6,FALSE))</f>
        <v/>
      </c>
      <c r="G6" s="97">
        <v>5</v>
      </c>
    </row>
    <row r="7" spans="1:7" x14ac:dyDescent="0.15">
      <c r="A7" s="141">
        <v>6</v>
      </c>
      <c r="B7" s="128" t="s">
        <v>29</v>
      </c>
      <c r="C7" s="129" t="s">
        <v>427</v>
      </c>
      <c r="D7" s="129" t="s">
        <v>171</v>
      </c>
      <c r="E7" s="129" t="s">
        <v>696</v>
      </c>
      <c r="F7" s="183" t="str">
        <f>IF(VLOOKUP(B7,'비품현황표(전체)'!$A$1:$F$273,6,FALSE)=0,"",VLOOKUP(B7,'비품현황표(전체)'!$A$1:$F$273,6,FALSE))</f>
        <v/>
      </c>
      <c r="G7" s="97">
        <v>5</v>
      </c>
    </row>
    <row r="8" spans="1:7" x14ac:dyDescent="0.15">
      <c r="A8" s="141">
        <v>7</v>
      </c>
      <c r="B8" s="128" t="s">
        <v>921</v>
      </c>
      <c r="C8" s="129"/>
      <c r="D8" s="129" t="s">
        <v>172</v>
      </c>
      <c r="E8" s="133" t="s">
        <v>655</v>
      </c>
      <c r="F8" s="183" t="str">
        <f>IF(VLOOKUP(B8,'비품현황표(전체)'!$A$1:$F$273,6,FALSE)=0,"",VLOOKUP(B8,'비품현황표(전체)'!$A$1:$F$273,6,FALSE))</f>
        <v/>
      </c>
      <c r="G8" s="97">
        <v>2</v>
      </c>
    </row>
    <row r="9" spans="1:7" x14ac:dyDescent="0.15">
      <c r="A9" s="141">
        <v>8</v>
      </c>
      <c r="B9" s="95" t="s">
        <v>234</v>
      </c>
      <c r="C9" s="96" t="s">
        <v>452</v>
      </c>
      <c r="D9" s="96" t="s">
        <v>136</v>
      </c>
      <c r="E9" s="96" t="s">
        <v>640</v>
      </c>
      <c r="F9" s="183" t="str">
        <f>IF(VLOOKUP(B9,'비품현황표(전체)'!$A$1:$F$273,6,FALSE)=0,"",VLOOKUP(B9,'비품현황표(전체)'!$A$1:$F$273,6,FALSE))</f>
        <v/>
      </c>
      <c r="G9" s="98">
        <v>3</v>
      </c>
    </row>
    <row r="10" spans="1:7" x14ac:dyDescent="0.15">
      <c r="A10" s="141">
        <v>9</v>
      </c>
      <c r="B10" s="100" t="s">
        <v>39</v>
      </c>
      <c r="C10" s="100" t="s">
        <v>455</v>
      </c>
      <c r="D10" s="100" t="s">
        <v>134</v>
      </c>
      <c r="E10" s="100" t="s">
        <v>718</v>
      </c>
      <c r="F10" s="183" t="str">
        <f>IF(VLOOKUP(B10,'비품현황표(전체)'!$A$1:$F$273,6,FALSE)=0,"",VLOOKUP(B10,'비품현황표(전체)'!$A$1:$F$273,6,FALSE))</f>
        <v>유사발음</v>
      </c>
      <c r="G10" s="101">
        <v>5</v>
      </c>
    </row>
    <row r="11" spans="1:7" x14ac:dyDescent="0.15">
      <c r="A11" s="141">
        <v>10</v>
      </c>
      <c r="B11" s="23" t="s">
        <v>63</v>
      </c>
      <c r="C11" s="11" t="s">
        <v>422</v>
      </c>
      <c r="D11" s="11" t="s">
        <v>169</v>
      </c>
      <c r="E11" s="11" t="s">
        <v>692</v>
      </c>
      <c r="F11" s="44" t="s">
        <v>341</v>
      </c>
      <c r="G11" s="101">
        <v>2</v>
      </c>
    </row>
    <row r="12" spans="1:7" x14ac:dyDescent="0.15">
      <c r="A12" s="141">
        <v>11</v>
      </c>
      <c r="B12" s="95" t="s">
        <v>961</v>
      </c>
      <c r="C12" s="96" t="s">
        <v>553</v>
      </c>
      <c r="D12" s="96" t="s">
        <v>962</v>
      </c>
      <c r="E12" s="96" t="s">
        <v>738</v>
      </c>
      <c r="F12" s="183" t="str">
        <f>IF(VLOOKUP(B12,'비품현황표(전체)'!$A$1:$F$273,6,FALSE)=0,"",VLOOKUP(B12,'비품현황표(전체)'!$A$1:$F$273,6,FALSE))</f>
        <v/>
      </c>
      <c r="G12" s="98">
        <v>3</v>
      </c>
    </row>
    <row r="13" spans="1:7" x14ac:dyDescent="0.15">
      <c r="A13" s="141">
        <v>12</v>
      </c>
      <c r="B13" s="107" t="s">
        <v>27</v>
      </c>
      <c r="C13" s="108" t="s">
        <v>475</v>
      </c>
      <c r="D13" s="108" t="s">
        <v>135</v>
      </c>
      <c r="E13" s="108" t="s">
        <v>639</v>
      </c>
      <c r="F13" s="185" t="str">
        <f>IF(VLOOKUP(B13,'비품현황표(전체)'!$A$1:$F$273,6,FALSE)=0,"",VLOOKUP(B13,'비품현황표(전체)'!$A$1:$F$273,6,FALSE))</f>
        <v/>
      </c>
      <c r="G13" s="109">
        <v>5</v>
      </c>
    </row>
    <row r="14" spans="1:7" x14ac:dyDescent="0.15">
      <c r="A14" s="81"/>
      <c r="B14" s="81"/>
      <c r="C14" s="81"/>
      <c r="D14" s="93" t="s">
        <v>804</v>
      </c>
      <c r="E14" s="106"/>
      <c r="F14" s="58"/>
      <c r="G14" s="110">
        <v>12</v>
      </c>
    </row>
  </sheetData>
  <sortState ref="B11:G12">
    <sortCondition ref="B11"/>
  </sortState>
  <phoneticPr fontId="1" type="noConversion"/>
  <conditionalFormatting sqref="F2:F10 F12:F13">
    <cfRule type="containsText" dxfId="148" priority="2" operator="containsText" text="유사">
      <formula>NOT(ISERROR(SEARCH("유사",F2)))</formula>
    </cfRule>
    <cfRule type="containsText" priority="3" operator="containsText" text="유사 용량">
      <formula>NOT(ISERROR(SEARCH("유사 용량",F2)))</formula>
    </cfRule>
    <cfRule type="containsText" dxfId="147" priority="4" operator="containsText" text="혼돈주의약품, 유사모양, 유사발음">
      <formula>NOT(ISERROR(SEARCH("혼돈주의약품, 유사모양, 유사발음",F2)))</formula>
    </cfRule>
  </conditionalFormatting>
  <conditionalFormatting sqref="B11">
    <cfRule type="duplicateValues" dxfId="146" priority="1"/>
  </conditionalFormatting>
  <pageMargins left="0.7" right="0.7" top="0.75" bottom="0.75" header="0.3" footer="0.3"/>
  <pageSetup paperSize="9" orientation="portrait" r:id="rId1"/>
  <headerFooter>
    <oddHeader>&amp;C&amp;"돋움,굵게"&amp;12 112병동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view="pageLayout" zoomScaleNormal="100" workbookViewId="0">
      <selection activeCell="F2" sqref="F2"/>
    </sheetView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6640625" customWidth="1"/>
    <col min="7" max="7" width="7.5546875" customWidth="1"/>
    <col min="8" max="8" width="5.4414062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749</v>
      </c>
      <c r="G1" s="103" t="s">
        <v>359</v>
      </c>
      <c r="H1" s="104" t="s">
        <v>246</v>
      </c>
    </row>
    <row r="2" spans="1:8" x14ac:dyDescent="0.15">
      <c r="A2" s="90">
        <v>1</v>
      </c>
      <c r="B2" s="90" t="s">
        <v>39</v>
      </c>
      <c r="C2" s="90" t="s">
        <v>455</v>
      </c>
      <c r="D2" s="90" t="s">
        <v>134</v>
      </c>
      <c r="E2" s="90" t="s">
        <v>561</v>
      </c>
      <c r="F2" s="90" t="str">
        <f>VLOOKUP(B2,'비품현황표(전체)'!$A1:$AT274,5,FALSE)</f>
        <v>밀봉용기, 차광하여 실온보관</v>
      </c>
      <c r="G2" s="88" t="str">
        <f>IF(VLOOKUP(B2,'비품현황표(전체)'!$A$1:$F$273,6,FALSE)=0,"",VLOOKUP(B2,'비품현황표(전체)'!$A$1:$F$273,6,FALSE))</f>
        <v>유사발음</v>
      </c>
      <c r="H2" s="83">
        <v>5</v>
      </c>
    </row>
    <row r="3" spans="1:8" x14ac:dyDescent="0.15">
      <c r="A3" s="81"/>
      <c r="B3" s="81"/>
      <c r="C3" s="81"/>
      <c r="D3" s="93" t="s">
        <v>371</v>
      </c>
      <c r="E3" s="81"/>
      <c r="F3" s="81"/>
      <c r="G3" s="81"/>
      <c r="H3" s="110">
        <v>1</v>
      </c>
    </row>
  </sheetData>
  <phoneticPr fontId="1" type="noConversion"/>
  <conditionalFormatting sqref="G2">
    <cfRule type="containsText" dxfId="145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44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&amp;C&amp;"돋움,굵게"121병동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view="pageLayout" topLeftCell="A13" zoomScaleNormal="100" workbookViewId="0">
      <selection activeCell="H43" sqref="H43"/>
    </sheetView>
  </sheetViews>
  <sheetFormatPr defaultRowHeight="13.5" x14ac:dyDescent="0.15"/>
  <cols>
    <col min="1" max="1" width="3.2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77734375" customWidth="1"/>
    <col min="7" max="7" width="7.5546875" customWidth="1"/>
    <col min="8" max="8" width="7.2187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103" t="s">
        <v>359</v>
      </c>
      <c r="H1" s="104" t="s">
        <v>1282</v>
      </c>
    </row>
    <row r="2" spans="1:8" x14ac:dyDescent="0.15">
      <c r="A2" s="122">
        <v>1</v>
      </c>
      <c r="B2" s="122" t="s">
        <v>791</v>
      </c>
      <c r="C2" s="199" t="s">
        <v>792</v>
      </c>
      <c r="D2" s="118" t="s">
        <v>793</v>
      </c>
      <c r="E2" s="207" t="s">
        <v>794</v>
      </c>
      <c r="F2" s="122" t="s">
        <v>795</v>
      </c>
      <c r="G2" s="117" t="str">
        <f>IF(VLOOKUP(B2,'비품현황표(전체)'!$A$1:$F$273,6,FALSE)=0,"",VLOOKUP(B2,'비품현황표(전체)'!$A$1:$F$273,6,FALSE))</f>
        <v/>
      </c>
      <c r="H2" s="119">
        <v>3</v>
      </c>
    </row>
    <row r="3" spans="1:8" x14ac:dyDescent="0.15">
      <c r="A3" s="122">
        <v>2</v>
      </c>
      <c r="B3" s="128" t="s">
        <v>936</v>
      </c>
      <c r="C3" s="200"/>
      <c r="D3" s="129" t="s">
        <v>937</v>
      </c>
      <c r="E3" s="208"/>
      <c r="F3" s="133" t="s">
        <v>938</v>
      </c>
      <c r="G3" s="97" t="str">
        <f>IF(VLOOKUP(B3,'비품현황표(전체)'!$A$1:$F$273,6,FALSE)=0,"",VLOOKUP(B3,'비품현황표(전체)'!$A$1:$F$273,6,FALSE))</f>
        <v/>
      </c>
      <c r="H3" s="97">
        <v>10</v>
      </c>
    </row>
    <row r="4" spans="1:8" x14ac:dyDescent="0.15">
      <c r="A4" s="122">
        <v>3</v>
      </c>
      <c r="B4" s="128" t="s">
        <v>8</v>
      </c>
      <c r="C4" s="200" t="s">
        <v>493</v>
      </c>
      <c r="D4" s="129" t="s">
        <v>320</v>
      </c>
      <c r="E4" s="208" t="s">
        <v>572</v>
      </c>
      <c r="F4" s="129" t="s">
        <v>652</v>
      </c>
      <c r="G4" s="97" t="str">
        <f>IF(VLOOKUP(B4,'비품현황표(전체)'!$A$1:$F$273,6,FALSE)=0,"",VLOOKUP(B4,'비품현황표(전체)'!$A$1:$F$273,6,FALSE))</f>
        <v/>
      </c>
      <c r="H4" s="97">
        <v>2</v>
      </c>
    </row>
    <row r="5" spans="1:8" x14ac:dyDescent="0.15">
      <c r="A5" s="122">
        <v>4</v>
      </c>
      <c r="B5" s="128" t="s">
        <v>9</v>
      </c>
      <c r="C5" s="200" t="s">
        <v>385</v>
      </c>
      <c r="D5" s="129" t="s">
        <v>185</v>
      </c>
      <c r="E5" s="208" t="s">
        <v>556</v>
      </c>
      <c r="F5" s="129" t="s">
        <v>659</v>
      </c>
      <c r="G5" s="97" t="str">
        <f>IF(VLOOKUP(B5,'비품현황표(전체)'!$A$1:$F$273,6,FALSE)=0,"",VLOOKUP(B5,'비품현황표(전체)'!$A$1:$F$273,6,FALSE))</f>
        <v/>
      </c>
      <c r="H5" s="97">
        <v>3</v>
      </c>
    </row>
    <row r="6" spans="1:8" x14ac:dyDescent="0.15">
      <c r="A6" s="122">
        <v>5</v>
      </c>
      <c r="B6" s="24" t="s">
        <v>69</v>
      </c>
      <c r="C6" s="197" t="s">
        <v>499</v>
      </c>
      <c r="D6" s="96" t="s">
        <v>836</v>
      </c>
      <c r="E6" s="198" t="s">
        <v>578</v>
      </c>
      <c r="F6" s="2" t="s">
        <v>640</v>
      </c>
      <c r="G6" s="97"/>
      <c r="H6" s="97">
        <v>5</v>
      </c>
    </row>
    <row r="7" spans="1:8" x14ac:dyDescent="0.15">
      <c r="A7" s="122">
        <v>6</v>
      </c>
      <c r="B7" s="128" t="s">
        <v>28</v>
      </c>
      <c r="C7" s="200" t="s">
        <v>392</v>
      </c>
      <c r="D7" s="129" t="s">
        <v>77</v>
      </c>
      <c r="E7" s="208" t="s">
        <v>554</v>
      </c>
      <c r="F7" s="129" t="s">
        <v>669</v>
      </c>
      <c r="G7" s="97" t="str">
        <f>IF(VLOOKUP(B7,'비품현황표(전체)'!$A$1:$F$273,6,FALSE)=0,"",VLOOKUP(B7,'비품현황표(전체)'!$A$1:$F$273,6,FALSE))</f>
        <v/>
      </c>
      <c r="H7" s="97">
        <v>5</v>
      </c>
    </row>
    <row r="8" spans="1:8" x14ac:dyDescent="0.15">
      <c r="A8" s="122">
        <v>7</v>
      </c>
      <c r="B8" s="99" t="s">
        <v>60</v>
      </c>
      <c r="C8" s="201" t="s">
        <v>394</v>
      </c>
      <c r="D8" s="100" t="s">
        <v>159</v>
      </c>
      <c r="E8" s="209" t="s">
        <v>556</v>
      </c>
      <c r="F8" s="100" t="s">
        <v>670</v>
      </c>
      <c r="G8" s="97" t="str">
        <f>IF(VLOOKUP(B8,'비품현황표(전체)'!$A$1:$F$273,6,FALSE)=0,"",VLOOKUP(B8,'비품현황표(전체)'!$A$1:$F$273,6,FALSE))</f>
        <v>유사발음</v>
      </c>
      <c r="H8" s="101">
        <v>2</v>
      </c>
    </row>
    <row r="9" spans="1:8" x14ac:dyDescent="0.15">
      <c r="A9" s="122">
        <v>8</v>
      </c>
      <c r="B9" s="95" t="s">
        <v>54</v>
      </c>
      <c r="C9" s="202" t="s">
        <v>396</v>
      </c>
      <c r="D9" s="96" t="s">
        <v>160</v>
      </c>
      <c r="E9" s="210" t="s">
        <v>561</v>
      </c>
      <c r="F9" s="96" t="s">
        <v>640</v>
      </c>
      <c r="G9" s="97" t="str">
        <f>IF(VLOOKUP(B9,'비품현황표(전체)'!$A$1:$F$273,6,FALSE)=0,"",VLOOKUP(B9,'비품현황표(전체)'!$A$1:$F$273,6,FALSE))</f>
        <v/>
      </c>
      <c r="H9" s="98">
        <v>1</v>
      </c>
    </row>
    <row r="10" spans="1:8" x14ac:dyDescent="0.15">
      <c r="A10" s="122">
        <v>9</v>
      </c>
      <c r="B10" s="99" t="s">
        <v>22</v>
      </c>
      <c r="C10" s="201" t="s">
        <v>397</v>
      </c>
      <c r="D10" s="100" t="s">
        <v>218</v>
      </c>
      <c r="E10" s="209" t="s">
        <v>577</v>
      </c>
      <c r="F10" s="100" t="s">
        <v>673</v>
      </c>
      <c r="G10" s="97" t="str">
        <f>IF(VLOOKUP(B10,'비품현황표(전체)'!$A$1:$F$273,6,FALSE)=0,"",VLOOKUP(B10,'비품현황표(전체)'!$A$1:$F$273,6,FALSE))</f>
        <v>유사발음</v>
      </c>
      <c r="H10" s="101">
        <v>1</v>
      </c>
    </row>
    <row r="11" spans="1:8" x14ac:dyDescent="0.15">
      <c r="A11" s="122">
        <v>10</v>
      </c>
      <c r="B11" s="99" t="s">
        <v>3</v>
      </c>
      <c r="C11" s="201" t="s">
        <v>398</v>
      </c>
      <c r="D11" s="100" t="s">
        <v>219</v>
      </c>
      <c r="E11" s="209" t="s">
        <v>583</v>
      </c>
      <c r="F11" s="100" t="s">
        <v>651</v>
      </c>
      <c r="G11" s="97" t="str">
        <f>IF(VLOOKUP(B11,'비품현황표(전체)'!$A$1:$F$273,6,FALSE)=0,"",VLOOKUP(B11,'비품현황표(전체)'!$A$1:$F$273,6,FALSE))</f>
        <v>유사발음</v>
      </c>
      <c r="H11" s="101">
        <v>3</v>
      </c>
    </row>
    <row r="12" spans="1:8" x14ac:dyDescent="0.15">
      <c r="A12" s="122">
        <v>11</v>
      </c>
      <c r="B12" s="25" t="s">
        <v>321</v>
      </c>
      <c r="C12" s="2" t="s">
        <v>504</v>
      </c>
      <c r="D12" s="2" t="s">
        <v>322</v>
      </c>
      <c r="E12" s="2" t="s">
        <v>582</v>
      </c>
      <c r="F12" s="2" t="s">
        <v>672</v>
      </c>
      <c r="G12" s="97"/>
      <c r="H12" s="98">
        <v>4</v>
      </c>
    </row>
    <row r="13" spans="1:8" x14ac:dyDescent="0.15">
      <c r="A13" s="122">
        <v>12</v>
      </c>
      <c r="B13" s="99" t="s">
        <v>21</v>
      </c>
      <c r="C13" s="201" t="s">
        <v>402</v>
      </c>
      <c r="D13" s="100" t="s">
        <v>162</v>
      </c>
      <c r="E13" s="209" t="s">
        <v>556</v>
      </c>
      <c r="F13" s="100" t="s">
        <v>676</v>
      </c>
      <c r="G13" s="97" t="str">
        <f>IF(VLOOKUP(B13,'비품현황표(전체)'!$A$1:$F$273,6,FALSE)=0,"",VLOOKUP(B13,'비품현황표(전체)'!$A$1:$F$273,6,FALSE))</f>
        <v>유사발음</v>
      </c>
      <c r="H13" s="101">
        <v>20</v>
      </c>
    </row>
    <row r="14" spans="1:8" x14ac:dyDescent="0.15">
      <c r="A14" s="122">
        <v>13</v>
      </c>
      <c r="B14" s="95" t="s">
        <v>543</v>
      </c>
      <c r="C14" s="202" t="s">
        <v>80</v>
      </c>
      <c r="D14" s="96" t="s">
        <v>80</v>
      </c>
      <c r="E14" s="210" t="s">
        <v>574</v>
      </c>
      <c r="F14" s="96" t="s">
        <v>677</v>
      </c>
      <c r="G14" s="97" t="str">
        <f>IF(VLOOKUP(B14,'비품현황표(전체)'!$A$1:$F$273,6,FALSE)=0,"",VLOOKUP(B14,'비품현황표(전체)'!$A$1:$F$273,6,FALSE))</f>
        <v>고위험의약품</v>
      </c>
      <c r="H14" s="98">
        <v>1</v>
      </c>
    </row>
    <row r="15" spans="1:8" x14ac:dyDescent="0.15">
      <c r="A15" s="122">
        <v>14</v>
      </c>
      <c r="B15" s="24" t="s">
        <v>1195</v>
      </c>
      <c r="C15" s="2"/>
      <c r="D15" s="2" t="s">
        <v>1196</v>
      </c>
      <c r="E15" s="210"/>
      <c r="F15" s="2" t="s">
        <v>1197</v>
      </c>
      <c r="G15" s="97"/>
      <c r="H15" s="98">
        <v>1</v>
      </c>
    </row>
    <row r="16" spans="1:8" x14ac:dyDescent="0.15">
      <c r="A16" s="122">
        <v>15</v>
      </c>
      <c r="B16" s="129" t="s">
        <v>277</v>
      </c>
      <c r="C16" s="200" t="s">
        <v>510</v>
      </c>
      <c r="D16" s="132" t="s">
        <v>278</v>
      </c>
      <c r="E16" s="208" t="s">
        <v>554</v>
      </c>
      <c r="F16" s="129" t="s">
        <v>682</v>
      </c>
      <c r="G16" s="97" t="str">
        <f>IF(VLOOKUP(B16,'비품현황표(전체)'!$A$1:$F$273,6,FALSE)=0,"",VLOOKUP(B16,'비품현황표(전체)'!$A$1:$F$273,6,FALSE))</f>
        <v/>
      </c>
      <c r="H16" s="97">
        <v>4</v>
      </c>
    </row>
    <row r="17" spans="1:8" x14ac:dyDescent="0.15">
      <c r="A17" s="122">
        <v>16</v>
      </c>
      <c r="B17" s="128" t="s">
        <v>51</v>
      </c>
      <c r="C17" s="200" t="s">
        <v>415</v>
      </c>
      <c r="D17" s="129" t="s">
        <v>190</v>
      </c>
      <c r="E17" s="208" t="s">
        <v>554</v>
      </c>
      <c r="F17" s="129" t="s">
        <v>644</v>
      </c>
      <c r="G17" s="97" t="str">
        <f>IF(VLOOKUP(B17,'비품현황표(전체)'!$A$1:$F$273,6,FALSE)=0,"",VLOOKUP(B17,'비품현황표(전체)'!$A$1:$F$273,6,FALSE))</f>
        <v>고위험의약품</v>
      </c>
      <c r="H17" s="97">
        <v>2</v>
      </c>
    </row>
    <row r="18" spans="1:8" x14ac:dyDescent="0.15">
      <c r="A18" s="122">
        <v>17</v>
      </c>
      <c r="B18" s="129" t="s">
        <v>343</v>
      </c>
      <c r="C18" s="200" t="s">
        <v>511</v>
      </c>
      <c r="D18" s="129" t="s">
        <v>344</v>
      </c>
      <c r="E18" s="208" t="s">
        <v>573</v>
      </c>
      <c r="F18" s="129" t="s">
        <v>643</v>
      </c>
      <c r="G18" s="97" t="str">
        <f>IF(VLOOKUP(B18,'비품현황표(전체)'!$A$1:$F$273,6,FALSE)=0,"",VLOOKUP(B18,'비품현황표(전체)'!$A$1:$F$273,6,FALSE))</f>
        <v>고위험의약품</v>
      </c>
      <c r="H18" s="97">
        <v>2</v>
      </c>
    </row>
    <row r="19" spans="1:8" x14ac:dyDescent="0.15">
      <c r="A19" s="122">
        <v>18</v>
      </c>
      <c r="B19" s="25" t="s">
        <v>1272</v>
      </c>
      <c r="C19" s="2"/>
      <c r="D19" s="2" t="s">
        <v>1273</v>
      </c>
      <c r="E19" s="2"/>
      <c r="F19" s="2" t="s">
        <v>1274</v>
      </c>
      <c r="G19" s="43" t="s">
        <v>1261</v>
      </c>
      <c r="H19" s="97">
        <v>2</v>
      </c>
    </row>
    <row r="20" spans="1:8" x14ac:dyDescent="0.15">
      <c r="A20" s="122">
        <v>19</v>
      </c>
      <c r="B20" s="128" t="s">
        <v>67</v>
      </c>
      <c r="C20" s="200" t="s">
        <v>417</v>
      </c>
      <c r="D20" s="129" t="s">
        <v>192</v>
      </c>
      <c r="E20" s="208" t="s">
        <v>554</v>
      </c>
      <c r="F20" s="129" t="s">
        <v>685</v>
      </c>
      <c r="G20" s="97" t="str">
        <f>IF(VLOOKUP(B20,'비품현황표(전체)'!$A$1:$F$273,6,FALSE)=0,"",VLOOKUP(B20,'비품현황표(전체)'!$A$1:$F$273,6,FALSE))</f>
        <v/>
      </c>
      <c r="H20" s="97">
        <v>2</v>
      </c>
    </row>
    <row r="21" spans="1:8" x14ac:dyDescent="0.15">
      <c r="A21" s="122">
        <v>20</v>
      </c>
      <c r="B21" s="129" t="s">
        <v>53</v>
      </c>
      <c r="C21" s="200" t="s">
        <v>420</v>
      </c>
      <c r="D21" s="129" t="s">
        <v>130</v>
      </c>
      <c r="E21" s="208" t="s">
        <v>556</v>
      </c>
      <c r="F21" s="129" t="s">
        <v>647</v>
      </c>
      <c r="G21" s="97" t="str">
        <f>IF(VLOOKUP(B21,'비품현황표(전체)'!$A$1:$F$273,6,FALSE)=0,"",VLOOKUP(B21,'비품현황표(전체)'!$A$1:$F$273,6,FALSE))</f>
        <v/>
      </c>
      <c r="H21" s="97">
        <v>5</v>
      </c>
    </row>
    <row r="22" spans="1:8" x14ac:dyDescent="0.15">
      <c r="A22" s="122">
        <v>21</v>
      </c>
      <c r="B22" s="129" t="s">
        <v>87</v>
      </c>
      <c r="C22" s="200" t="s">
        <v>421</v>
      </c>
      <c r="D22" s="129" t="s">
        <v>168</v>
      </c>
      <c r="E22" s="208" t="s">
        <v>556</v>
      </c>
      <c r="F22" s="129" t="s">
        <v>691</v>
      </c>
      <c r="G22" s="97" t="str">
        <f>IF(VLOOKUP(B22,'비품현황표(전체)'!$A$1:$F$273,6,FALSE)=0,"",VLOOKUP(B22,'비품현황표(전체)'!$A$1:$F$273,6,FALSE))</f>
        <v/>
      </c>
      <c r="H22" s="97">
        <v>5</v>
      </c>
    </row>
    <row r="23" spans="1:8" x14ac:dyDescent="0.15">
      <c r="A23" s="122">
        <v>22</v>
      </c>
      <c r="B23" s="25" t="s">
        <v>1178</v>
      </c>
      <c r="C23" s="2"/>
      <c r="D23" s="2" t="s">
        <v>1179</v>
      </c>
      <c r="E23" s="2"/>
      <c r="F23" s="71" t="s">
        <v>660</v>
      </c>
      <c r="G23" s="97"/>
      <c r="H23" s="97">
        <v>1</v>
      </c>
    </row>
    <row r="24" spans="1:8" x14ac:dyDescent="0.15">
      <c r="A24" s="122">
        <v>23</v>
      </c>
      <c r="B24" s="99" t="s">
        <v>63</v>
      </c>
      <c r="C24" s="201" t="s">
        <v>422</v>
      </c>
      <c r="D24" s="100" t="s">
        <v>169</v>
      </c>
      <c r="E24" s="209" t="s">
        <v>556</v>
      </c>
      <c r="F24" s="100" t="s">
        <v>692</v>
      </c>
      <c r="G24" s="97" t="str">
        <f>IF(VLOOKUP(B24,'비품현황표(전체)'!$A$1:$F$273,6,FALSE)=0,"",VLOOKUP(B24,'비품현황표(전체)'!$A$1:$F$273,6,FALSE))</f>
        <v>유사모양</v>
      </c>
      <c r="H24" s="101">
        <v>5</v>
      </c>
    </row>
    <row r="25" spans="1:8" x14ac:dyDescent="0.15">
      <c r="A25" s="122">
        <v>24</v>
      </c>
      <c r="B25" s="128" t="s">
        <v>29</v>
      </c>
      <c r="C25" s="200" t="s">
        <v>427</v>
      </c>
      <c r="D25" s="129" t="s">
        <v>171</v>
      </c>
      <c r="E25" s="208" t="s">
        <v>556</v>
      </c>
      <c r="F25" s="129" t="s">
        <v>696</v>
      </c>
      <c r="G25" s="97" t="str">
        <f>IF(VLOOKUP(B25,'비품현황표(전체)'!$A$1:$F$273,6,FALSE)=0,"",VLOOKUP(B25,'비품현황표(전체)'!$A$1:$F$273,6,FALSE))</f>
        <v/>
      </c>
      <c r="H25" s="97">
        <v>5</v>
      </c>
    </row>
    <row r="26" spans="1:8" x14ac:dyDescent="0.15">
      <c r="A26" s="122">
        <v>25</v>
      </c>
      <c r="B26" s="128" t="s">
        <v>52</v>
      </c>
      <c r="C26" s="200" t="s">
        <v>428</v>
      </c>
      <c r="D26" s="129" t="s">
        <v>197</v>
      </c>
      <c r="E26" s="208" t="s">
        <v>556</v>
      </c>
      <c r="F26" s="129" t="s">
        <v>633</v>
      </c>
      <c r="G26" s="97" t="str">
        <f>IF(VLOOKUP(B26,'비품현황표(전체)'!$A$1:$F$273,6,FALSE)=0,"",VLOOKUP(B26,'비품현황표(전체)'!$A$1:$F$273,6,FALSE))</f>
        <v/>
      </c>
      <c r="H26" s="97">
        <v>3</v>
      </c>
    </row>
    <row r="27" spans="1:8" x14ac:dyDescent="0.15">
      <c r="A27" s="122">
        <v>26</v>
      </c>
      <c r="B27" s="28" t="s">
        <v>368</v>
      </c>
      <c r="C27" s="9" t="s">
        <v>548</v>
      </c>
      <c r="D27" s="9" t="s">
        <v>337</v>
      </c>
      <c r="E27" s="2" t="s">
        <v>597</v>
      </c>
      <c r="F27" s="2" t="s">
        <v>755</v>
      </c>
      <c r="G27" s="97"/>
      <c r="H27" s="97">
        <v>3</v>
      </c>
    </row>
    <row r="28" spans="1:8" x14ac:dyDescent="0.15">
      <c r="A28" s="122">
        <v>27</v>
      </c>
      <c r="B28" s="128" t="s">
        <v>4</v>
      </c>
      <c r="C28" s="200" t="s">
        <v>439</v>
      </c>
      <c r="D28" s="129" t="s">
        <v>131</v>
      </c>
      <c r="E28" s="208" t="s">
        <v>556</v>
      </c>
      <c r="F28" s="129" t="s">
        <v>655</v>
      </c>
      <c r="G28" s="97" t="str">
        <f>IF(VLOOKUP(B28,'비품현황표(전체)'!$A$1:$F$273,6,FALSE)=0,"",VLOOKUP(B28,'비품현황표(전체)'!$A$1:$F$273,6,FALSE))</f>
        <v/>
      </c>
      <c r="H28" s="97">
        <v>5</v>
      </c>
    </row>
    <row r="29" spans="1:8" x14ac:dyDescent="0.15">
      <c r="A29" s="122">
        <v>28</v>
      </c>
      <c r="B29" s="96" t="s">
        <v>989</v>
      </c>
      <c r="C29" s="203" t="s">
        <v>876</v>
      </c>
      <c r="D29" s="132" t="s">
        <v>877</v>
      </c>
      <c r="E29" s="208"/>
      <c r="F29" s="129" t="s">
        <v>878</v>
      </c>
      <c r="G29" s="97" t="str">
        <f>IF(VLOOKUP(B29,'비품현황표(전체)'!$A$1:$F$273,6,FALSE)=0,"",VLOOKUP(B29,'비품현황표(전체)'!$A$1:$F$273,6,FALSE))</f>
        <v/>
      </c>
      <c r="H29" s="97">
        <v>10</v>
      </c>
    </row>
    <row r="30" spans="1:8" x14ac:dyDescent="0.15">
      <c r="A30" s="122">
        <v>29</v>
      </c>
      <c r="B30" s="40" t="s">
        <v>93</v>
      </c>
      <c r="C30" s="204" t="s">
        <v>446</v>
      </c>
      <c r="D30" s="156" t="s">
        <v>175</v>
      </c>
      <c r="E30" s="211" t="s">
        <v>582</v>
      </c>
      <c r="F30" s="11" t="s">
        <v>648</v>
      </c>
      <c r="G30" s="97" t="str">
        <f>IF(VLOOKUP(B30,'비품현황표(전체)'!$A$1:$F$273,6,FALSE)=0,"",VLOOKUP(B30,'비품현황표(전체)'!$A$1:$F$273,6,FALSE))</f>
        <v>유사모양</v>
      </c>
      <c r="H30" s="101">
        <v>5</v>
      </c>
    </row>
    <row r="31" spans="1:8" x14ac:dyDescent="0.15">
      <c r="A31" s="122">
        <v>30</v>
      </c>
      <c r="B31" s="129" t="s">
        <v>24</v>
      </c>
      <c r="C31" s="200" t="s">
        <v>448</v>
      </c>
      <c r="D31" s="129" t="s">
        <v>138</v>
      </c>
      <c r="E31" s="208" t="s">
        <v>561</v>
      </c>
      <c r="F31" s="129" t="s">
        <v>710</v>
      </c>
      <c r="G31" s="97" t="str">
        <f>IF(VLOOKUP(B31,'비품현황표(전체)'!$A$1:$F$273,6,FALSE)=0,"",VLOOKUP(B31,'비품현황표(전체)'!$A$1:$F$273,6,FALSE))</f>
        <v/>
      </c>
      <c r="H31" s="97">
        <v>5</v>
      </c>
    </row>
    <row r="32" spans="1:8" x14ac:dyDescent="0.15">
      <c r="A32" s="122">
        <v>31</v>
      </c>
      <c r="B32" s="100" t="s">
        <v>988</v>
      </c>
      <c r="C32" s="211" t="s">
        <v>454</v>
      </c>
      <c r="D32" s="214" t="s">
        <v>133</v>
      </c>
      <c r="E32" s="211" t="s">
        <v>561</v>
      </c>
      <c r="F32" s="11" t="s">
        <v>717</v>
      </c>
      <c r="G32" s="97" t="str">
        <f>IF(VLOOKUP(B32,'비품현황표(전체)'!$A$1:$F$273,6,FALSE)=0,"",VLOOKUP(B32,'비품현황표(전체)'!$A$1:$F$273,6,FALSE))</f>
        <v>유사모양</v>
      </c>
      <c r="H32" s="101">
        <v>10</v>
      </c>
    </row>
    <row r="33" spans="1:8" x14ac:dyDescent="0.15">
      <c r="A33" s="122">
        <v>32</v>
      </c>
      <c r="B33" s="100" t="s">
        <v>39</v>
      </c>
      <c r="C33" s="201" t="s">
        <v>455</v>
      </c>
      <c r="D33" s="100" t="s">
        <v>134</v>
      </c>
      <c r="E33" s="209" t="s">
        <v>561</v>
      </c>
      <c r="F33" s="100" t="s">
        <v>718</v>
      </c>
      <c r="G33" s="97" t="str">
        <f>IF(VLOOKUP(B33,'비품현황표(전체)'!$A$1:$F$273,6,FALSE)=0,"",VLOOKUP(B33,'비품현황표(전체)'!$A$1:$F$273,6,FALSE))</f>
        <v>유사발음</v>
      </c>
      <c r="H33" s="101">
        <v>3</v>
      </c>
    </row>
    <row r="34" spans="1:8" x14ac:dyDescent="0.15">
      <c r="A34" s="122">
        <v>33</v>
      </c>
      <c r="B34" s="128" t="s">
        <v>805</v>
      </c>
      <c r="C34" s="200" t="s">
        <v>811</v>
      </c>
      <c r="D34" s="129" t="s">
        <v>812</v>
      </c>
      <c r="E34" s="208" t="s">
        <v>806</v>
      </c>
      <c r="F34" s="129" t="s">
        <v>807</v>
      </c>
      <c r="G34" s="97" t="str">
        <f>IF(VLOOKUP(B34,'비품현황표(전체)'!$A$1:$F$273,6,FALSE)=0,"",VLOOKUP(B34,'비품현황표(전체)'!$A$1:$F$273,6,FALSE))</f>
        <v/>
      </c>
      <c r="H34" s="148">
        <v>3</v>
      </c>
    </row>
    <row r="35" spans="1:8" x14ac:dyDescent="0.15">
      <c r="A35" s="122">
        <v>34</v>
      </c>
      <c r="B35" s="128" t="s">
        <v>20</v>
      </c>
      <c r="C35" s="200" t="s">
        <v>462</v>
      </c>
      <c r="D35" s="129" t="s">
        <v>78</v>
      </c>
      <c r="E35" s="208" t="s">
        <v>559</v>
      </c>
      <c r="F35" s="129" t="s">
        <v>684</v>
      </c>
      <c r="G35" s="97" t="str">
        <f>IF(VLOOKUP(B35,'비품현황표(전체)'!$A$1:$F$273,6,FALSE)=0,"",VLOOKUP(B35,'비품현황표(전체)'!$A$1:$F$273,6,FALSE))</f>
        <v/>
      </c>
      <c r="H35" s="97">
        <v>2</v>
      </c>
    </row>
    <row r="36" spans="1:8" x14ac:dyDescent="0.15">
      <c r="A36" s="122">
        <v>35</v>
      </c>
      <c r="B36" s="128" t="s">
        <v>551</v>
      </c>
      <c r="C36" s="200" t="s">
        <v>552</v>
      </c>
      <c r="D36" s="129" t="s">
        <v>204</v>
      </c>
      <c r="E36" s="208" t="s">
        <v>556</v>
      </c>
      <c r="F36" s="129" t="s">
        <v>661</v>
      </c>
      <c r="G36" s="97" t="str">
        <f>IF(VLOOKUP(B36,'비품현황표(전체)'!$A$1:$F$273,6,FALSE)=0,"",VLOOKUP(B36,'비품현황표(전체)'!$A$1:$F$273,6,FALSE))</f>
        <v/>
      </c>
      <c r="H36" s="97">
        <v>30</v>
      </c>
    </row>
    <row r="37" spans="1:8" x14ac:dyDescent="0.15">
      <c r="A37" s="122">
        <v>36</v>
      </c>
      <c r="B37" s="128" t="s">
        <v>27</v>
      </c>
      <c r="C37" s="205" t="s">
        <v>475</v>
      </c>
      <c r="D37" s="136" t="s">
        <v>135</v>
      </c>
      <c r="E37" s="212" t="s">
        <v>556</v>
      </c>
      <c r="F37" s="136" t="s">
        <v>639</v>
      </c>
      <c r="G37" s="97" t="str">
        <f>IF(VLOOKUP(B37,'비품현황표(전체)'!$A$1:$F$273,6,FALSE)=0,"",VLOOKUP(B37,'비품현황표(전체)'!$A$1:$F$273,6,FALSE))</f>
        <v/>
      </c>
      <c r="H37" s="97">
        <v>5</v>
      </c>
    </row>
    <row r="38" spans="1:8" x14ac:dyDescent="0.15">
      <c r="A38" s="122">
        <v>37</v>
      </c>
      <c r="B38" s="129" t="s">
        <v>96</v>
      </c>
      <c r="C38" s="200" t="s">
        <v>477</v>
      </c>
      <c r="D38" s="129" t="s">
        <v>139</v>
      </c>
      <c r="E38" s="208" t="s">
        <v>559</v>
      </c>
      <c r="F38" s="129" t="s">
        <v>644</v>
      </c>
      <c r="G38" s="97" t="str">
        <f>IF(VLOOKUP(B38,'비품현황표(전체)'!$A$1:$F$273,6,FALSE)=0,"",VLOOKUP(B38,'비품현황표(전체)'!$A$1:$F$273,6,FALSE))</f>
        <v/>
      </c>
      <c r="H38" s="97">
        <v>2</v>
      </c>
    </row>
    <row r="39" spans="1:8" x14ac:dyDescent="0.15">
      <c r="A39" s="122">
        <v>38</v>
      </c>
      <c r="B39" s="128" t="s">
        <v>44</v>
      </c>
      <c r="C39" s="200" t="s">
        <v>480</v>
      </c>
      <c r="D39" s="129" t="s">
        <v>216</v>
      </c>
      <c r="E39" s="208" t="s">
        <v>561</v>
      </c>
      <c r="F39" s="129" t="s">
        <v>739</v>
      </c>
      <c r="G39" s="97" t="str">
        <f>IF(VLOOKUP(B39,'비품현황표(전체)'!$A$1:$F$273,6,FALSE)=0,"",VLOOKUP(B39,'비품현황표(전체)'!$A$1:$F$273,6,FALSE))</f>
        <v/>
      </c>
      <c r="H39" s="97">
        <v>5</v>
      </c>
    </row>
    <row r="40" spans="1:8" x14ac:dyDescent="0.15">
      <c r="A40" s="122">
        <v>39</v>
      </c>
      <c r="B40" s="129" t="s">
        <v>268</v>
      </c>
      <c r="C40" s="200" t="s">
        <v>541</v>
      </c>
      <c r="D40" s="129" t="s">
        <v>262</v>
      </c>
      <c r="E40" s="208" t="s">
        <v>573</v>
      </c>
      <c r="F40" s="129" t="s">
        <v>741</v>
      </c>
      <c r="G40" s="97" t="str">
        <f>IF(VLOOKUP(B40,'비품현황표(전체)'!$A$1:$F$273,6,FALSE)=0,"",VLOOKUP(B40,'비품현황표(전체)'!$A$1:$F$273,6,FALSE))</f>
        <v/>
      </c>
      <c r="H40" s="97">
        <v>5</v>
      </c>
    </row>
    <row r="41" spans="1:8" x14ac:dyDescent="0.15">
      <c r="A41" s="122">
        <v>40</v>
      </c>
      <c r="B41" s="149" t="s">
        <v>47</v>
      </c>
      <c r="C41" s="206" t="s">
        <v>484</v>
      </c>
      <c r="D41" s="137" t="s">
        <v>181</v>
      </c>
      <c r="E41" s="213" t="s">
        <v>556</v>
      </c>
      <c r="F41" s="137" t="s">
        <v>702</v>
      </c>
      <c r="G41" s="139" t="str">
        <f>IF(VLOOKUP(B41,'비품현황표(전체)'!$A$1:$F$273,6,FALSE)=0,"",VLOOKUP(B41,'비품현황표(전체)'!$A$1:$F$273,6,FALSE))</f>
        <v/>
      </c>
      <c r="H41" s="139">
        <v>2</v>
      </c>
    </row>
    <row r="42" spans="1:8" x14ac:dyDescent="0.15">
      <c r="A42" s="122">
        <v>41</v>
      </c>
      <c r="B42" s="24" t="s">
        <v>90</v>
      </c>
      <c r="C42" s="2" t="s">
        <v>486</v>
      </c>
      <c r="D42" s="2" t="s">
        <v>223</v>
      </c>
      <c r="E42" s="307"/>
      <c r="F42" s="2" t="s">
        <v>746</v>
      </c>
      <c r="G42" s="269"/>
      <c r="H42" s="269">
        <v>5</v>
      </c>
    </row>
    <row r="43" spans="1:8" x14ac:dyDescent="0.15">
      <c r="A43" s="81"/>
      <c r="B43" s="81"/>
      <c r="C43" s="81"/>
      <c r="D43" s="93" t="s">
        <v>804</v>
      </c>
      <c r="E43" s="81"/>
      <c r="F43" s="106"/>
      <c r="G43" s="81"/>
      <c r="H43" s="110">
        <v>41</v>
      </c>
    </row>
  </sheetData>
  <phoneticPr fontId="1" type="noConversion"/>
  <conditionalFormatting sqref="G2:G18 G20:G42">
    <cfRule type="containsText" dxfId="143" priority="14" operator="containsText" text="유사">
      <formula>NOT(ISERROR(SEARCH("유사",G2)))</formula>
    </cfRule>
    <cfRule type="containsText" priority="15" operator="containsText" text="유사 용량">
      <formula>NOT(ISERROR(SEARCH("유사 용량",G2)))</formula>
    </cfRule>
    <cfRule type="containsText" dxfId="142" priority="16" operator="containsText" text="혼돈주의약품, 유사모양, 유사발음">
      <formula>NOT(ISERROR(SEARCH("혼돈주의약품, 유사모양, 유사발음",G2)))</formula>
    </cfRule>
  </conditionalFormatting>
  <conditionalFormatting sqref="B29">
    <cfRule type="duplicateValues" dxfId="141" priority="13"/>
  </conditionalFormatting>
  <conditionalFormatting sqref="B6">
    <cfRule type="duplicateValues" dxfId="140" priority="12"/>
  </conditionalFormatting>
  <conditionalFormatting sqref="B30">
    <cfRule type="duplicateValues" dxfId="139" priority="11"/>
  </conditionalFormatting>
  <conditionalFormatting sqref="B32">
    <cfRule type="duplicateValues" dxfId="138" priority="10"/>
  </conditionalFormatting>
  <conditionalFormatting sqref="B27">
    <cfRule type="duplicateValues" dxfId="137" priority="8"/>
  </conditionalFormatting>
  <conditionalFormatting sqref="B23">
    <cfRule type="duplicateValues" dxfId="136" priority="6"/>
  </conditionalFormatting>
  <conditionalFormatting sqref="B15">
    <cfRule type="duplicateValues" dxfId="135" priority="4"/>
  </conditionalFormatting>
  <conditionalFormatting sqref="B42">
    <cfRule type="duplicateValues" dxfId="134" priority="3"/>
  </conditionalFormatting>
  <conditionalFormatting sqref="B19">
    <cfRule type="duplicateValues" dxfId="133" priority="2"/>
  </conditionalFormatting>
  <conditionalFormatting sqref="B12">
    <cfRule type="duplicateValues" dxfId="132" priority="1"/>
  </conditionalFormatting>
  <pageMargins left="0.7" right="0.7" top="0.75" bottom="0.75" header="0.3" footer="0.3"/>
  <pageSetup paperSize="9" orientation="portrait" r:id="rId1"/>
  <headerFooter>
    <oddHeader>&amp;C&amp;"돋움,굵게"SICU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view="pageLayout" topLeftCell="A4" zoomScaleNormal="100" workbookViewId="0">
      <selection activeCell="H34" sqref="H34"/>
    </sheetView>
  </sheetViews>
  <sheetFormatPr defaultRowHeight="13.5" x14ac:dyDescent="0.15"/>
  <cols>
    <col min="1" max="1" width="3.2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.109375" customWidth="1"/>
    <col min="7" max="7" width="7.5546875" customWidth="1"/>
    <col min="8" max="8" width="9.44140625" customWidth="1"/>
    <col min="9" max="9" width="3.109375" customWidth="1"/>
    <col min="11" max="11" width="23.77734375" customWidth="1"/>
    <col min="12" max="12" width="24.21875" customWidth="1"/>
    <col min="13" max="13" width="6.6640625" customWidth="1"/>
  </cols>
  <sheetData>
    <row r="1" spans="1:8" x14ac:dyDescent="0.15">
      <c r="A1" s="105" t="s">
        <v>367</v>
      </c>
      <c r="B1" s="105" t="s">
        <v>48</v>
      </c>
      <c r="C1" s="105" t="s">
        <v>49</v>
      </c>
      <c r="D1" s="105" t="s">
        <v>267</v>
      </c>
      <c r="E1" s="105" t="s">
        <v>50</v>
      </c>
      <c r="F1" s="105" t="s">
        <v>632</v>
      </c>
      <c r="G1" s="152" t="s">
        <v>359</v>
      </c>
      <c r="H1" s="105" t="s">
        <v>1377</v>
      </c>
    </row>
    <row r="2" spans="1:8" x14ac:dyDescent="0.15">
      <c r="A2" s="122">
        <v>1</v>
      </c>
      <c r="B2" s="122" t="s">
        <v>791</v>
      </c>
      <c r="C2" s="118" t="s">
        <v>792</v>
      </c>
      <c r="D2" s="118" t="s">
        <v>793</v>
      </c>
      <c r="E2" s="122" t="s">
        <v>794</v>
      </c>
      <c r="F2" s="122" t="s">
        <v>795</v>
      </c>
      <c r="G2" s="117" t="str">
        <f>IF(VLOOKUP(B2,'비품현황표(전체)'!$A$1:$F$273,6,FALSE)=0,"",VLOOKUP(B2,'비품현황표(전체)'!$A$1:$F$273,6,FALSE))</f>
        <v/>
      </c>
      <c r="H2" s="119">
        <v>3</v>
      </c>
    </row>
    <row r="3" spans="1:8" x14ac:dyDescent="0.15">
      <c r="A3" s="122">
        <v>2</v>
      </c>
      <c r="B3" s="128" t="s">
        <v>226</v>
      </c>
      <c r="C3" s="129" t="s">
        <v>491</v>
      </c>
      <c r="D3" s="129" t="s">
        <v>225</v>
      </c>
      <c r="E3" s="129" t="s">
        <v>564</v>
      </c>
      <c r="F3" s="129" t="s">
        <v>640</v>
      </c>
      <c r="G3" s="97" t="str">
        <f>IF(VLOOKUP(B3,'비품현황표(전체)'!$A$1:$F$273,6,FALSE)=0,"",VLOOKUP(B3,'비품현황표(전체)'!$A$1:$F$273,6,FALSE))</f>
        <v/>
      </c>
      <c r="H3" s="97">
        <v>5</v>
      </c>
    </row>
    <row r="4" spans="1:8" x14ac:dyDescent="0.15">
      <c r="A4" s="122">
        <v>3</v>
      </c>
      <c r="B4" s="128" t="s">
        <v>936</v>
      </c>
      <c r="C4" s="129"/>
      <c r="D4" s="129" t="s">
        <v>937</v>
      </c>
      <c r="E4" s="129"/>
      <c r="F4" s="133" t="s">
        <v>938</v>
      </c>
      <c r="G4" s="97" t="str">
        <f>IF(VLOOKUP(B4,'비품현황표(전체)'!$A$1:$F$273,6,FALSE)=0,"",VLOOKUP(B4,'비품현황표(전체)'!$A$1:$F$273,6,FALSE))</f>
        <v/>
      </c>
      <c r="H4" s="97">
        <v>2</v>
      </c>
    </row>
    <row r="5" spans="1:8" x14ac:dyDescent="0.15">
      <c r="A5" s="122">
        <v>4</v>
      </c>
      <c r="B5" s="128" t="s">
        <v>8</v>
      </c>
      <c r="C5" s="129" t="s">
        <v>493</v>
      </c>
      <c r="D5" s="129" t="s">
        <v>320</v>
      </c>
      <c r="E5" s="129" t="s">
        <v>572</v>
      </c>
      <c r="F5" s="129" t="s">
        <v>652</v>
      </c>
      <c r="G5" s="97" t="str">
        <f>IF(VLOOKUP(B5,'비품현황표(전체)'!$A$1:$F$273,6,FALSE)=0,"",VLOOKUP(B5,'비품현황표(전체)'!$A$1:$F$273,6,FALSE))</f>
        <v/>
      </c>
      <c r="H5" s="97">
        <v>2</v>
      </c>
    </row>
    <row r="6" spans="1:8" x14ac:dyDescent="0.15">
      <c r="A6" s="122">
        <v>5</v>
      </c>
      <c r="B6" s="128" t="s">
        <v>9</v>
      </c>
      <c r="C6" s="129" t="s">
        <v>385</v>
      </c>
      <c r="D6" s="129" t="s">
        <v>185</v>
      </c>
      <c r="E6" s="129" t="s">
        <v>556</v>
      </c>
      <c r="F6" s="129" t="s">
        <v>659</v>
      </c>
      <c r="G6" s="97" t="str">
        <f>IF(VLOOKUP(B6,'비품현황표(전체)'!$A$1:$F$273,6,FALSE)=0,"",VLOOKUP(B6,'비품현황표(전체)'!$A$1:$F$273,6,FALSE))</f>
        <v/>
      </c>
      <c r="H6" s="97">
        <v>5</v>
      </c>
    </row>
    <row r="7" spans="1:8" x14ac:dyDescent="0.15">
      <c r="A7" s="122">
        <v>6</v>
      </c>
      <c r="B7" s="128" t="s">
        <v>69</v>
      </c>
      <c r="C7" s="129" t="s">
        <v>499</v>
      </c>
      <c r="D7" s="129" t="s">
        <v>836</v>
      </c>
      <c r="E7" s="129" t="s">
        <v>578</v>
      </c>
      <c r="F7" s="129" t="s">
        <v>640</v>
      </c>
      <c r="G7" s="97" t="str">
        <f>IF(VLOOKUP(B7,'비품현황표(전체)'!$A$1:$F$273,6,FALSE)=0,"",VLOOKUP(B7,'비품현황표(전체)'!$A$1:$F$273,6,FALSE))</f>
        <v/>
      </c>
      <c r="H7" s="97">
        <v>4</v>
      </c>
    </row>
    <row r="8" spans="1:8" x14ac:dyDescent="0.15">
      <c r="A8" s="122">
        <v>7</v>
      </c>
      <c r="B8" s="128" t="s">
        <v>28</v>
      </c>
      <c r="C8" s="129" t="s">
        <v>392</v>
      </c>
      <c r="D8" s="129" t="s">
        <v>77</v>
      </c>
      <c r="E8" s="129" t="s">
        <v>554</v>
      </c>
      <c r="F8" s="129" t="s">
        <v>669</v>
      </c>
      <c r="G8" s="97" t="str">
        <f>IF(VLOOKUP(B8,'비품현황표(전체)'!$A$1:$F$273,6,FALSE)=0,"",VLOOKUP(B8,'비품현황표(전체)'!$A$1:$F$273,6,FALSE))</f>
        <v/>
      </c>
      <c r="H8" s="97">
        <v>5</v>
      </c>
    </row>
    <row r="9" spans="1:8" x14ac:dyDescent="0.15">
      <c r="A9" s="122">
        <v>8</v>
      </c>
      <c r="B9" s="129" t="s">
        <v>321</v>
      </c>
      <c r="C9" s="129" t="s">
        <v>504</v>
      </c>
      <c r="D9" s="129" t="s">
        <v>322</v>
      </c>
      <c r="E9" s="129" t="s">
        <v>582</v>
      </c>
      <c r="F9" s="129" t="s">
        <v>672</v>
      </c>
      <c r="G9" s="97" t="str">
        <f>IF(VLOOKUP(B9,'비품현황표(전체)'!$A$1:$F$273,6,FALSE)=0,"",VLOOKUP(B9,'비품현황표(전체)'!$A$1:$F$273,6,FALSE))</f>
        <v/>
      </c>
      <c r="H9" s="97">
        <v>8</v>
      </c>
    </row>
    <row r="10" spans="1:8" x14ac:dyDescent="0.15">
      <c r="A10" s="122">
        <v>9</v>
      </c>
      <c r="B10" s="99" t="s">
        <v>22</v>
      </c>
      <c r="C10" s="100" t="s">
        <v>397</v>
      </c>
      <c r="D10" s="100" t="s">
        <v>218</v>
      </c>
      <c r="E10" s="100" t="s">
        <v>577</v>
      </c>
      <c r="F10" s="100" t="s">
        <v>673</v>
      </c>
      <c r="G10" s="97" t="str">
        <f>IF(VLOOKUP(B10,'비품현황표(전체)'!$A$1:$F$273,6,FALSE)=0,"",VLOOKUP(B10,'비품현황표(전체)'!$A$1:$F$273,6,FALSE))</f>
        <v>유사발음</v>
      </c>
      <c r="H10" s="101">
        <v>2</v>
      </c>
    </row>
    <row r="11" spans="1:8" x14ac:dyDescent="0.15">
      <c r="A11" s="122">
        <v>10</v>
      </c>
      <c r="B11" s="99" t="s">
        <v>3</v>
      </c>
      <c r="C11" s="100" t="s">
        <v>398</v>
      </c>
      <c r="D11" s="100" t="s">
        <v>219</v>
      </c>
      <c r="E11" s="100" t="s">
        <v>583</v>
      </c>
      <c r="F11" s="100" t="s">
        <v>651</v>
      </c>
      <c r="G11" s="97" t="str">
        <f>IF(VLOOKUP(B11,'비품현황표(전체)'!$A$1:$F$273,6,FALSE)=0,"",VLOOKUP(B11,'비품현황표(전체)'!$A$1:$F$273,6,FALSE))</f>
        <v>유사발음</v>
      </c>
      <c r="H11" s="101">
        <v>3</v>
      </c>
    </row>
    <row r="12" spans="1:8" x14ac:dyDescent="0.15">
      <c r="A12" s="122">
        <v>11</v>
      </c>
      <c r="B12" s="99" t="s">
        <v>21</v>
      </c>
      <c r="C12" s="100" t="s">
        <v>402</v>
      </c>
      <c r="D12" s="100" t="s">
        <v>162</v>
      </c>
      <c r="E12" s="100" t="s">
        <v>556</v>
      </c>
      <c r="F12" s="100" t="s">
        <v>676</v>
      </c>
      <c r="G12" s="97" t="str">
        <f>IF(VLOOKUP(B12,'비품현황표(전체)'!$A$1:$F$273,6,FALSE)=0,"",VLOOKUP(B12,'비품현황표(전체)'!$A$1:$F$273,6,FALSE))</f>
        <v>유사발음</v>
      </c>
      <c r="H12" s="101">
        <v>20</v>
      </c>
    </row>
    <row r="13" spans="1:8" x14ac:dyDescent="0.15">
      <c r="A13" s="122">
        <v>12</v>
      </c>
      <c r="B13" s="95" t="s">
        <v>543</v>
      </c>
      <c r="C13" s="96" t="s">
        <v>80</v>
      </c>
      <c r="D13" s="96" t="s">
        <v>80</v>
      </c>
      <c r="E13" s="96" t="s">
        <v>574</v>
      </c>
      <c r="F13" s="96" t="s">
        <v>677</v>
      </c>
      <c r="G13" s="97" t="str">
        <f>IF(VLOOKUP(B13,'비품현황표(전체)'!$A$1:$F$273,6,FALSE)=0,"",VLOOKUP(B13,'비품현황표(전체)'!$A$1:$F$273,6,FALSE))</f>
        <v>고위험의약품</v>
      </c>
      <c r="H13" s="98">
        <v>1</v>
      </c>
    </row>
    <row r="14" spans="1:8" x14ac:dyDescent="0.15">
      <c r="A14" s="122">
        <v>13</v>
      </c>
      <c r="B14" s="95" t="s">
        <v>17</v>
      </c>
      <c r="C14" s="96" t="s">
        <v>411</v>
      </c>
      <c r="D14" s="96" t="s">
        <v>165</v>
      </c>
      <c r="E14" s="96" t="s">
        <v>559</v>
      </c>
      <c r="F14" s="96" t="s">
        <v>681</v>
      </c>
      <c r="G14" s="97" t="str">
        <f>IF(VLOOKUP(B14,'비품현황표(전체)'!$A$1:$F$273,6,FALSE)=0,"",VLOOKUP(B14,'비품현황표(전체)'!$A$1:$F$273,6,FALSE))</f>
        <v/>
      </c>
      <c r="H14" s="98">
        <v>2</v>
      </c>
    </row>
    <row r="15" spans="1:8" x14ac:dyDescent="0.15">
      <c r="A15" s="122">
        <v>14</v>
      </c>
      <c r="B15" s="25" t="s">
        <v>277</v>
      </c>
      <c r="C15" s="2" t="s">
        <v>510</v>
      </c>
      <c r="D15" s="3" t="s">
        <v>278</v>
      </c>
      <c r="E15" s="2" t="s">
        <v>554</v>
      </c>
      <c r="F15" s="2" t="s">
        <v>682</v>
      </c>
      <c r="G15" s="97" t="str">
        <f>IF(VLOOKUP(B15,'비품현황표(전체)'!$A$1:$F$273,6,FALSE)=0,"",VLOOKUP(B15,'비품현황표(전체)'!$A$1:$F$273,6,FALSE))</f>
        <v/>
      </c>
      <c r="H15" s="97">
        <v>4</v>
      </c>
    </row>
    <row r="16" spans="1:8" x14ac:dyDescent="0.15">
      <c r="A16" s="122">
        <v>15</v>
      </c>
      <c r="B16" s="24" t="s">
        <v>14</v>
      </c>
      <c r="C16" s="2" t="s">
        <v>416</v>
      </c>
      <c r="D16" s="2" t="s">
        <v>191</v>
      </c>
      <c r="E16" s="2" t="s">
        <v>554</v>
      </c>
      <c r="F16" s="2" t="s">
        <v>684</v>
      </c>
      <c r="G16" s="97" t="str">
        <f>IF(VLOOKUP(B16,'비품현황표(전체)'!$A$1:$F$273,6,FALSE)=0,"",VLOOKUP(B16,'비품현황표(전체)'!$A$1:$F$273,6,FALSE))</f>
        <v>고위험의약품</v>
      </c>
      <c r="H16" s="97">
        <v>3</v>
      </c>
    </row>
    <row r="17" spans="1:8" x14ac:dyDescent="0.15">
      <c r="A17" s="122">
        <v>16</v>
      </c>
      <c r="B17" s="95" t="s">
        <v>67</v>
      </c>
      <c r="C17" s="96" t="s">
        <v>417</v>
      </c>
      <c r="D17" s="96" t="s">
        <v>192</v>
      </c>
      <c r="E17" s="96" t="s">
        <v>554</v>
      </c>
      <c r="F17" s="96" t="s">
        <v>685</v>
      </c>
      <c r="G17" s="97" t="str">
        <f>IF(VLOOKUP(B17,'비품현황표(전체)'!$A$1:$F$273,6,FALSE)=0,"",VLOOKUP(B17,'비품현황표(전체)'!$A$1:$F$273,6,FALSE))</f>
        <v/>
      </c>
      <c r="H17" s="98">
        <v>2</v>
      </c>
    </row>
    <row r="18" spans="1:8" x14ac:dyDescent="0.15">
      <c r="A18" s="122">
        <v>17</v>
      </c>
      <c r="B18" s="99" t="s">
        <v>63</v>
      </c>
      <c r="C18" s="100" t="s">
        <v>422</v>
      </c>
      <c r="D18" s="100" t="s">
        <v>169</v>
      </c>
      <c r="E18" s="100" t="s">
        <v>556</v>
      </c>
      <c r="F18" s="100" t="s">
        <v>692</v>
      </c>
      <c r="G18" s="97" t="str">
        <f>IF(VLOOKUP(B18,'비품현황표(전체)'!$A$1:$F$273,6,FALSE)=0,"",VLOOKUP(B18,'비품현황표(전체)'!$A$1:$F$273,6,FALSE))</f>
        <v>유사모양</v>
      </c>
      <c r="H18" s="101">
        <v>5</v>
      </c>
    </row>
    <row r="19" spans="1:8" x14ac:dyDescent="0.15">
      <c r="A19" s="122">
        <v>18</v>
      </c>
      <c r="B19" s="128" t="s">
        <v>29</v>
      </c>
      <c r="C19" s="129" t="s">
        <v>427</v>
      </c>
      <c r="D19" s="129" t="s">
        <v>171</v>
      </c>
      <c r="E19" s="129" t="s">
        <v>556</v>
      </c>
      <c r="F19" s="129" t="s">
        <v>696</v>
      </c>
      <c r="G19" s="97" t="str">
        <f>IF(VLOOKUP(B19,'비품현황표(전체)'!$A$1:$F$273,6,FALSE)=0,"",VLOOKUP(B19,'비품현황표(전체)'!$A$1:$F$273,6,FALSE))</f>
        <v/>
      </c>
      <c r="H19" s="97">
        <v>3</v>
      </c>
    </row>
    <row r="20" spans="1:8" x14ac:dyDescent="0.15">
      <c r="A20" s="122">
        <v>19</v>
      </c>
      <c r="B20" s="128" t="s">
        <v>52</v>
      </c>
      <c r="C20" s="129" t="s">
        <v>428</v>
      </c>
      <c r="D20" s="129" t="s">
        <v>197</v>
      </c>
      <c r="E20" s="129" t="s">
        <v>556</v>
      </c>
      <c r="F20" s="129" t="s">
        <v>633</v>
      </c>
      <c r="G20" s="97" t="str">
        <f>IF(VLOOKUP(B20,'비품현황표(전체)'!$A$1:$F$273,6,FALSE)=0,"",VLOOKUP(B20,'비품현황표(전체)'!$A$1:$F$273,6,FALSE))</f>
        <v/>
      </c>
      <c r="H20" s="97">
        <v>2</v>
      </c>
    </row>
    <row r="21" spans="1:8" x14ac:dyDescent="0.15">
      <c r="A21" s="122">
        <v>20</v>
      </c>
      <c r="B21" s="128" t="s">
        <v>4</v>
      </c>
      <c r="C21" s="129" t="s">
        <v>439</v>
      </c>
      <c r="D21" s="129" t="s">
        <v>1314</v>
      </c>
      <c r="E21" s="129" t="s">
        <v>556</v>
      </c>
      <c r="F21" s="129" t="s">
        <v>655</v>
      </c>
      <c r="G21" s="97" t="str">
        <f>IF(VLOOKUP(B21,'비품현황표(전체)'!$A$1:$F$273,6,FALSE)=0,"",VLOOKUP(B21,'비품현황표(전체)'!$A$1:$F$273,6,FALSE))</f>
        <v/>
      </c>
      <c r="H21" s="97">
        <v>3</v>
      </c>
    </row>
    <row r="22" spans="1:8" x14ac:dyDescent="0.15">
      <c r="A22" s="122">
        <v>21</v>
      </c>
      <c r="B22" s="128" t="s">
        <v>845</v>
      </c>
      <c r="C22" s="129" t="s">
        <v>525</v>
      </c>
      <c r="D22" s="129" t="s">
        <v>900</v>
      </c>
      <c r="E22" s="129" t="s">
        <v>566</v>
      </c>
      <c r="F22" s="129" t="s">
        <v>655</v>
      </c>
      <c r="G22" s="97" t="e">
        <f>IF(VLOOKUP(B22,'비품현황표(전체)'!$A$1:$F$273,6,FALSE)=0,"",VLOOKUP(B22,'비품현황표(전체)'!$A$1:$F$273,6,FALSE))</f>
        <v>#N/A</v>
      </c>
      <c r="H22" s="97">
        <v>3</v>
      </c>
    </row>
    <row r="23" spans="1:8" x14ac:dyDescent="0.15">
      <c r="A23" s="122">
        <v>22</v>
      </c>
      <c r="B23" s="40" t="s">
        <v>93</v>
      </c>
      <c r="C23" s="14" t="s">
        <v>446</v>
      </c>
      <c r="D23" s="14" t="s">
        <v>175</v>
      </c>
      <c r="E23" s="11" t="s">
        <v>582</v>
      </c>
      <c r="F23" s="11" t="s">
        <v>648</v>
      </c>
      <c r="G23" s="44" t="s">
        <v>341</v>
      </c>
      <c r="H23" s="97">
        <v>3</v>
      </c>
    </row>
    <row r="24" spans="1:8" x14ac:dyDescent="0.15">
      <c r="A24" s="122">
        <v>23</v>
      </c>
      <c r="B24" s="129" t="s">
        <v>24</v>
      </c>
      <c r="C24" s="129" t="s">
        <v>448</v>
      </c>
      <c r="D24" s="129" t="s">
        <v>138</v>
      </c>
      <c r="E24" s="129" t="s">
        <v>561</v>
      </c>
      <c r="F24" s="129" t="s">
        <v>710</v>
      </c>
      <c r="G24" s="97" t="str">
        <f>IF(VLOOKUP(B24,'비품현황표(전체)'!$A$1:$F$273,6,FALSE)=0,"",VLOOKUP(B24,'비품현황표(전체)'!$A$1:$F$273,6,FALSE))</f>
        <v/>
      </c>
      <c r="H24" s="97">
        <v>10</v>
      </c>
    </row>
    <row r="25" spans="1:8" x14ac:dyDescent="0.15">
      <c r="A25" s="122">
        <v>24</v>
      </c>
      <c r="B25" s="129" t="s">
        <v>314</v>
      </c>
      <c r="C25" s="129" t="s">
        <v>529</v>
      </c>
      <c r="D25" s="129" t="s">
        <v>315</v>
      </c>
      <c r="E25" s="129" t="s">
        <v>563</v>
      </c>
      <c r="F25" s="129" t="s">
        <v>713</v>
      </c>
      <c r="G25" s="97" t="str">
        <f>IF(VLOOKUP(B25,'비품현황표(전체)'!$A$1:$F$273,6,FALSE)=0,"",VLOOKUP(B25,'비품현황표(전체)'!$A$1:$F$273,6,FALSE))</f>
        <v/>
      </c>
      <c r="H25" s="97">
        <v>5</v>
      </c>
    </row>
    <row r="26" spans="1:8" x14ac:dyDescent="0.15">
      <c r="A26" s="122">
        <v>25</v>
      </c>
      <c r="B26" s="128" t="s">
        <v>234</v>
      </c>
      <c r="C26" s="129" t="s">
        <v>452</v>
      </c>
      <c r="D26" s="129" t="s">
        <v>136</v>
      </c>
      <c r="E26" s="129" t="s">
        <v>560</v>
      </c>
      <c r="F26" s="129" t="s">
        <v>640</v>
      </c>
      <c r="G26" s="97" t="str">
        <f>IF(VLOOKUP(B26,'비품현황표(전체)'!$A$1:$F$273,6,FALSE)=0,"",VLOOKUP(B26,'비품현황표(전체)'!$A$1:$F$273,6,FALSE))</f>
        <v/>
      </c>
      <c r="H26" s="97">
        <v>2</v>
      </c>
    </row>
    <row r="27" spans="1:8" x14ac:dyDescent="0.15">
      <c r="A27" s="122">
        <v>26</v>
      </c>
      <c r="B27" s="100" t="s">
        <v>39</v>
      </c>
      <c r="C27" s="100" t="s">
        <v>455</v>
      </c>
      <c r="D27" s="100" t="s">
        <v>134</v>
      </c>
      <c r="E27" s="100" t="s">
        <v>561</v>
      </c>
      <c r="F27" s="100" t="s">
        <v>718</v>
      </c>
      <c r="G27" s="97" t="str">
        <f>IF(VLOOKUP(B27,'비품현황표(전체)'!$A$1:$F$273,6,FALSE)=0,"",VLOOKUP(B27,'비품현황표(전체)'!$A$1:$F$273,6,FALSE))</f>
        <v>유사발음</v>
      </c>
      <c r="H27" s="101">
        <v>2</v>
      </c>
    </row>
    <row r="28" spans="1:8" x14ac:dyDescent="0.15">
      <c r="A28" s="122">
        <v>27</v>
      </c>
      <c r="B28" s="95" t="s">
        <v>805</v>
      </c>
      <c r="C28" s="96" t="s">
        <v>811</v>
      </c>
      <c r="D28" s="96" t="s">
        <v>812</v>
      </c>
      <c r="E28" s="96" t="s">
        <v>806</v>
      </c>
      <c r="F28" s="96" t="s">
        <v>807</v>
      </c>
      <c r="G28" s="97" t="str">
        <f>IF(VLOOKUP(B28,'비품현황표(전체)'!$A$1:$F$273,6,FALSE)=0,"",VLOOKUP(B28,'비품현황표(전체)'!$A$1:$F$273,6,FALSE))</f>
        <v/>
      </c>
      <c r="H28" s="147">
        <v>5</v>
      </c>
    </row>
    <row r="29" spans="1:8" x14ac:dyDescent="0.15">
      <c r="A29" s="122">
        <v>28</v>
      </c>
      <c r="B29" s="95" t="s">
        <v>551</v>
      </c>
      <c r="C29" s="96" t="s">
        <v>552</v>
      </c>
      <c r="D29" s="96" t="s">
        <v>204</v>
      </c>
      <c r="E29" s="96" t="s">
        <v>556</v>
      </c>
      <c r="F29" s="96" t="s">
        <v>661</v>
      </c>
      <c r="G29" s="97" t="str">
        <f>IF(VLOOKUP(B29,'비품현황표(전체)'!$A$1:$F$273,6,FALSE)=0,"",VLOOKUP(B29,'비품현황표(전체)'!$A$1:$F$273,6,FALSE))</f>
        <v/>
      </c>
      <c r="H29" s="98">
        <v>10</v>
      </c>
    </row>
    <row r="30" spans="1:8" x14ac:dyDescent="0.15">
      <c r="A30" s="122">
        <v>29</v>
      </c>
      <c r="B30" s="150" t="s">
        <v>902</v>
      </c>
      <c r="C30" s="96"/>
      <c r="D30" s="96" t="s">
        <v>901</v>
      </c>
      <c r="E30" s="96"/>
      <c r="F30" s="151" t="s">
        <v>639</v>
      </c>
      <c r="G30" s="97" t="str">
        <f>IF(VLOOKUP(B30,'비품현황표(전체)'!$A$1:$F$273,6,FALSE)=0,"",VLOOKUP(B30,'비품현황표(전체)'!$A$1:$F$273,6,FALSE))</f>
        <v/>
      </c>
      <c r="H30" s="98">
        <v>3</v>
      </c>
    </row>
    <row r="31" spans="1:8" x14ac:dyDescent="0.15">
      <c r="A31" s="122">
        <v>30</v>
      </c>
      <c r="B31" s="95" t="s">
        <v>27</v>
      </c>
      <c r="C31" s="102" t="s">
        <v>475</v>
      </c>
      <c r="D31" s="102" t="s">
        <v>135</v>
      </c>
      <c r="E31" s="102" t="s">
        <v>556</v>
      </c>
      <c r="F31" s="102" t="s">
        <v>639</v>
      </c>
      <c r="G31" s="97" t="str">
        <f>IF(VLOOKUP(B31,'비품현황표(전체)'!$A$1:$F$273,6,FALSE)=0,"",VLOOKUP(B31,'비품현황표(전체)'!$A$1:$F$273,6,FALSE))</f>
        <v/>
      </c>
      <c r="H31" s="98">
        <v>3</v>
      </c>
    </row>
    <row r="32" spans="1:8" x14ac:dyDescent="0.15">
      <c r="A32" s="122">
        <v>31</v>
      </c>
      <c r="B32" s="129" t="s">
        <v>96</v>
      </c>
      <c r="C32" s="129" t="s">
        <v>477</v>
      </c>
      <c r="D32" s="129" t="s">
        <v>139</v>
      </c>
      <c r="E32" s="129" t="s">
        <v>559</v>
      </c>
      <c r="F32" s="129" t="s">
        <v>644</v>
      </c>
      <c r="G32" s="97" t="str">
        <f>IF(VLOOKUP(B32,'비품현황표(전체)'!$A$1:$F$273,6,FALSE)=0,"",VLOOKUP(B32,'비품현황표(전체)'!$A$1:$F$273,6,FALSE))</f>
        <v/>
      </c>
      <c r="H32" s="97">
        <v>6</v>
      </c>
    </row>
    <row r="33" spans="1:8" x14ac:dyDescent="0.15">
      <c r="A33" s="122">
        <v>32</v>
      </c>
      <c r="B33" s="107" t="s">
        <v>44</v>
      </c>
      <c r="C33" s="92" t="s">
        <v>480</v>
      </c>
      <c r="D33" s="92" t="s">
        <v>216</v>
      </c>
      <c r="E33" s="92" t="s">
        <v>561</v>
      </c>
      <c r="F33" s="92" t="s">
        <v>739</v>
      </c>
      <c r="G33" s="139" t="str">
        <f>IF(VLOOKUP(B33,'비품현황표(전체)'!$A$1:$F$273,6,FALSE)=0,"",VLOOKUP(B33,'비품현황표(전체)'!$A$1:$F$273,6,FALSE))</f>
        <v/>
      </c>
      <c r="H33" s="109">
        <v>5</v>
      </c>
    </row>
    <row r="34" spans="1:8" x14ac:dyDescent="0.15">
      <c r="A34" s="121"/>
      <c r="B34" s="106"/>
      <c r="C34" s="106"/>
      <c r="D34" s="93" t="s">
        <v>804</v>
      </c>
      <c r="E34" s="106"/>
      <c r="F34" s="106"/>
      <c r="G34" s="106"/>
      <c r="H34" s="110">
        <v>32</v>
      </c>
    </row>
  </sheetData>
  <phoneticPr fontId="1" type="noConversion"/>
  <conditionalFormatting sqref="G24:G33 G2:G22">
    <cfRule type="containsText" dxfId="131" priority="6" operator="containsText" text="유사">
      <formula>NOT(ISERROR(SEARCH("유사",G2)))</formula>
    </cfRule>
    <cfRule type="containsText" priority="7" operator="containsText" text="유사 용량">
      <formula>NOT(ISERROR(SEARCH("유사 용량",G2)))</formula>
    </cfRule>
    <cfRule type="containsText" dxfId="130" priority="8" operator="containsText" text="혼돈주의약품, 유사모양, 유사발음">
      <formula>NOT(ISERROR(SEARCH("혼돈주의약품, 유사모양, 유사발음",G2)))</formula>
    </cfRule>
  </conditionalFormatting>
  <conditionalFormatting sqref="B23">
    <cfRule type="duplicateValues" dxfId="129" priority="4"/>
  </conditionalFormatting>
  <conditionalFormatting sqref="B15">
    <cfRule type="duplicateValues" dxfId="128" priority="3"/>
  </conditionalFormatting>
  <conditionalFormatting sqref="B16">
    <cfRule type="duplicateValues" dxfId="127" priority="2"/>
  </conditionalFormatting>
  <pageMargins left="0.7" right="0.7" top="0.75" bottom="0.75" header="0.3" footer="0.3"/>
  <pageSetup paperSize="9" orientation="portrait" r:id="rId1"/>
  <headerFooter>
    <oddHeader xml:space="preserve">&amp;C&amp;"돋움,굵게"MICU
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view="pageLayout" zoomScaleNormal="100" workbookViewId="0">
      <selection activeCell="H2" sqref="H2"/>
    </sheetView>
  </sheetViews>
  <sheetFormatPr defaultRowHeight="13.5" x14ac:dyDescent="0.15"/>
  <cols>
    <col min="1" max="1" width="2.77734375" customWidth="1"/>
    <col min="2" max="2" width="7.21875" customWidth="1"/>
    <col min="3" max="3" width="11.6640625" hidden="1" customWidth="1"/>
    <col min="4" max="4" width="23.88671875" customWidth="1"/>
    <col min="5" max="5" width="6.109375" hidden="1" customWidth="1"/>
    <col min="6" max="6" width="25.33203125" customWidth="1"/>
    <col min="7" max="7" width="8" customWidth="1"/>
    <col min="8" max="8" width="8.3320312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103" t="s">
        <v>359</v>
      </c>
      <c r="H1" s="104" t="s">
        <v>1394</v>
      </c>
    </row>
    <row r="2" spans="1:8" x14ac:dyDescent="0.15">
      <c r="A2" s="141">
        <v>1</v>
      </c>
      <c r="B2" s="157" t="s">
        <v>934</v>
      </c>
      <c r="C2" s="157"/>
      <c r="D2" s="157" t="s">
        <v>933</v>
      </c>
      <c r="E2" s="157"/>
      <c r="F2" s="158" t="s">
        <v>935</v>
      </c>
      <c r="G2" s="117" t="str">
        <f>IF(VLOOKUP(B2,'비품현황표(전체)'!$A$1:$F$273,6,FALSE)=0,"",VLOOKUP(B2,'비품현황표(전체)'!$A$1:$F$273,6,FALSE))</f>
        <v/>
      </c>
      <c r="H2" s="113">
        <v>50</v>
      </c>
    </row>
    <row r="3" spans="1:8" x14ac:dyDescent="0.15">
      <c r="A3" s="141">
        <v>2</v>
      </c>
      <c r="B3" s="155" t="s">
        <v>894</v>
      </c>
      <c r="C3" s="144"/>
      <c r="D3" s="153" t="s">
        <v>896</v>
      </c>
      <c r="E3" s="144"/>
      <c r="F3" s="154" t="s">
        <v>897</v>
      </c>
      <c r="G3" s="97" t="str">
        <f>IF(VLOOKUP(B3,'비품현황표(전체)'!$A$1:$F$273,6,FALSE)=0,"",VLOOKUP(B3,'비품현황표(전체)'!$A$1:$F$273,6,FALSE))</f>
        <v/>
      </c>
      <c r="H3" s="111">
        <v>30</v>
      </c>
    </row>
    <row r="4" spans="1:8" x14ac:dyDescent="0.15">
      <c r="A4" s="141">
        <v>3</v>
      </c>
      <c r="B4" s="95" t="s">
        <v>226</v>
      </c>
      <c r="C4" s="96" t="s">
        <v>491</v>
      </c>
      <c r="D4" s="96" t="s">
        <v>225</v>
      </c>
      <c r="E4" s="96" t="s">
        <v>564</v>
      </c>
      <c r="F4" s="96" t="s">
        <v>640</v>
      </c>
      <c r="G4" s="97" t="str">
        <f>IF(VLOOKUP(B4,'비품현황표(전체)'!$A$1:$F$273,6,FALSE)=0,"",VLOOKUP(B4,'비품현황표(전체)'!$A$1:$F$273,6,FALSE))</f>
        <v/>
      </c>
      <c r="H4" s="98">
        <v>4</v>
      </c>
    </row>
    <row r="5" spans="1:8" x14ac:dyDescent="0.15">
      <c r="A5" s="141">
        <v>4</v>
      </c>
      <c r="B5" s="100" t="s">
        <v>109</v>
      </c>
      <c r="C5" s="100" t="s">
        <v>376</v>
      </c>
      <c r="D5" s="100" t="s">
        <v>141</v>
      </c>
      <c r="E5" s="100" t="s">
        <v>567</v>
      </c>
      <c r="F5" s="100" t="s">
        <v>980</v>
      </c>
      <c r="G5" s="101" t="str">
        <f>IF(VLOOKUP(B5,'비품현황표(전체)'!$A$1:$F$273,6,FALSE)=0,"",VLOOKUP(B5,'비품현황표(전체)'!$A$1:$F$273,6,FALSE))</f>
        <v>용량고주의</v>
      </c>
      <c r="H5" s="101">
        <v>20</v>
      </c>
    </row>
    <row r="6" spans="1:8" x14ac:dyDescent="0.15">
      <c r="A6" s="141">
        <v>5</v>
      </c>
      <c r="B6" s="100" t="s">
        <v>1152</v>
      </c>
      <c r="C6" s="100" t="s">
        <v>375</v>
      </c>
      <c r="D6" s="100" t="s">
        <v>222</v>
      </c>
      <c r="E6" s="100"/>
      <c r="F6" s="11" t="s">
        <v>641</v>
      </c>
      <c r="G6" s="101" t="str">
        <f>IF(VLOOKUP(B6,'비품현황표(전체)'!$A$1:$F$273,6,FALSE)=0,"",VLOOKUP(B6,'비품현황표(전체)'!$A$1:$F$273,6,FALSE))</f>
        <v>용량고주의</v>
      </c>
      <c r="H6" s="101">
        <v>2</v>
      </c>
    </row>
    <row r="7" spans="1:8" x14ac:dyDescent="0.15">
      <c r="A7" s="141">
        <v>6</v>
      </c>
      <c r="B7" s="128" t="s">
        <v>55</v>
      </c>
      <c r="C7" s="129" t="s">
        <v>379</v>
      </c>
      <c r="D7" s="129" t="s">
        <v>155</v>
      </c>
      <c r="E7" s="129" t="s">
        <v>556</v>
      </c>
      <c r="F7" s="129" t="s">
        <v>647</v>
      </c>
      <c r="G7" s="97" t="str">
        <f>IF(VLOOKUP(B7,'비품현황표(전체)'!$A$1:$F$273,6,FALSE)=0,"",VLOOKUP(B7,'비품현황표(전체)'!$A$1:$F$273,6,FALSE))</f>
        <v/>
      </c>
      <c r="H7" s="97">
        <v>44</v>
      </c>
    </row>
    <row r="8" spans="1:8" x14ac:dyDescent="0.15">
      <c r="A8" s="141">
        <v>7</v>
      </c>
      <c r="B8" s="99" t="s">
        <v>6</v>
      </c>
      <c r="C8" s="100" t="s">
        <v>380</v>
      </c>
      <c r="D8" s="100" t="s">
        <v>128</v>
      </c>
      <c r="E8" s="100" t="s">
        <v>569</v>
      </c>
      <c r="F8" s="100" t="s">
        <v>648</v>
      </c>
      <c r="G8" s="97" t="str">
        <f>IF(VLOOKUP(B8,'비품현황표(전체)'!$A$1:$F$273,6,FALSE)=0,"",VLOOKUP(B8,'비품현황표(전체)'!$A$1:$F$273,6,FALSE))</f>
        <v>유사모양</v>
      </c>
      <c r="H8" s="101">
        <v>2</v>
      </c>
    </row>
    <row r="9" spans="1:8" x14ac:dyDescent="0.15">
      <c r="A9" s="141">
        <v>8</v>
      </c>
      <c r="B9" s="128" t="s">
        <v>936</v>
      </c>
      <c r="C9" s="129"/>
      <c r="D9" s="129" t="s">
        <v>937</v>
      </c>
      <c r="E9" s="129"/>
      <c r="F9" s="160" t="s">
        <v>938</v>
      </c>
      <c r="G9" s="97" t="str">
        <f>IF(VLOOKUP(B9,'비품현황표(전체)'!$A$1:$F$273,6,FALSE)=0,"",VLOOKUP(B9,'비품현황표(전체)'!$A$1:$F$273,6,FALSE))</f>
        <v/>
      </c>
      <c r="H9" s="97">
        <v>20</v>
      </c>
    </row>
    <row r="10" spans="1:8" x14ac:dyDescent="0.15">
      <c r="A10" s="141">
        <v>9</v>
      </c>
      <c r="B10" s="128" t="s">
        <v>8</v>
      </c>
      <c r="C10" s="129" t="s">
        <v>493</v>
      </c>
      <c r="D10" s="129" t="s">
        <v>266</v>
      </c>
      <c r="E10" s="129" t="s">
        <v>572</v>
      </c>
      <c r="F10" s="129" t="s">
        <v>652</v>
      </c>
      <c r="G10" s="97" t="str">
        <f>IF(VLOOKUP(B10,'비품현황표(전체)'!$A$1:$F$273,6,FALSE)=0,"",VLOOKUP(B10,'비품현황표(전체)'!$A$1:$F$273,6,FALSE))</f>
        <v/>
      </c>
      <c r="H10" s="97">
        <v>20</v>
      </c>
    </row>
    <row r="11" spans="1:8" x14ac:dyDescent="0.15">
      <c r="A11" s="141">
        <v>10</v>
      </c>
      <c r="B11" s="128" t="s">
        <v>9</v>
      </c>
      <c r="C11" s="129" t="s">
        <v>385</v>
      </c>
      <c r="D11" s="129" t="s">
        <v>185</v>
      </c>
      <c r="E11" s="129" t="s">
        <v>556</v>
      </c>
      <c r="F11" s="129" t="s">
        <v>659</v>
      </c>
      <c r="G11" s="97" t="str">
        <f>IF(VLOOKUP(B11,'비품현황표(전체)'!$A$1:$F$273,6,FALSE)=0,"",VLOOKUP(B11,'비품현황표(전체)'!$A$1:$F$273,6,FALSE))</f>
        <v/>
      </c>
      <c r="H11" s="97">
        <v>10</v>
      </c>
    </row>
    <row r="12" spans="1:8" x14ac:dyDescent="0.15">
      <c r="A12" s="141">
        <v>11</v>
      </c>
      <c r="B12" s="128" t="s">
        <v>25</v>
      </c>
      <c r="C12" s="129" t="s">
        <v>386</v>
      </c>
      <c r="D12" s="129" t="s">
        <v>158</v>
      </c>
      <c r="E12" s="129" t="s">
        <v>561</v>
      </c>
      <c r="F12" s="129" t="s">
        <v>653</v>
      </c>
      <c r="G12" s="97" t="str">
        <f>IF(VLOOKUP(B12,'비품현황표(전체)'!$A$1:$F$273,6,FALSE)=0,"",VLOOKUP(B12,'비품현황표(전체)'!$A$1:$F$273,6,FALSE))</f>
        <v/>
      </c>
      <c r="H12" s="97">
        <v>5</v>
      </c>
    </row>
    <row r="13" spans="1:8" x14ac:dyDescent="0.15">
      <c r="A13" s="141">
        <v>12</v>
      </c>
      <c r="B13" s="128" t="s">
        <v>952</v>
      </c>
      <c r="C13" s="129"/>
      <c r="D13" s="129" t="s">
        <v>953</v>
      </c>
      <c r="E13" s="129"/>
      <c r="F13" s="133" t="s">
        <v>643</v>
      </c>
      <c r="G13" s="97" t="str">
        <f>IF(VLOOKUP(B13,'비품현황표(전체)'!$A$1:$F$273,6,FALSE)=0,"",VLOOKUP(B13,'비품현황표(전체)'!$A$1:$F$273,6,FALSE))</f>
        <v/>
      </c>
      <c r="H13" s="97">
        <v>1</v>
      </c>
    </row>
    <row r="14" spans="1:8" x14ac:dyDescent="0.15">
      <c r="A14" s="141">
        <v>13</v>
      </c>
      <c r="B14" s="128" t="s">
        <v>69</v>
      </c>
      <c r="C14" s="129" t="s">
        <v>499</v>
      </c>
      <c r="D14" s="129" t="s">
        <v>836</v>
      </c>
      <c r="E14" s="129" t="s">
        <v>578</v>
      </c>
      <c r="F14" s="129" t="s">
        <v>640</v>
      </c>
      <c r="G14" s="97" t="str">
        <f>IF(VLOOKUP(B14,'비품현황표(전체)'!$A$1:$F$273,6,FALSE)=0,"",VLOOKUP(B14,'비품현황표(전체)'!$A$1:$F$273,6,FALSE))</f>
        <v/>
      </c>
      <c r="H14" s="97">
        <v>8</v>
      </c>
    </row>
    <row r="15" spans="1:8" x14ac:dyDescent="0.15">
      <c r="A15" s="141">
        <v>14</v>
      </c>
      <c r="B15" s="128" t="s">
        <v>28</v>
      </c>
      <c r="C15" s="129" t="s">
        <v>392</v>
      </c>
      <c r="D15" s="129" t="s">
        <v>77</v>
      </c>
      <c r="E15" s="129" t="s">
        <v>554</v>
      </c>
      <c r="F15" s="129" t="s">
        <v>669</v>
      </c>
      <c r="G15" s="97" t="str">
        <f>IF(VLOOKUP(B15,'비품현황표(전체)'!$A$1:$F$273,6,FALSE)=0,"",VLOOKUP(B15,'비품현황표(전체)'!$A$1:$F$273,6,FALSE))</f>
        <v/>
      </c>
      <c r="H15" s="97">
        <v>50</v>
      </c>
    </row>
    <row r="16" spans="1:8" x14ac:dyDescent="0.15">
      <c r="A16" s="141">
        <v>15</v>
      </c>
      <c r="B16" s="99" t="s">
        <v>60</v>
      </c>
      <c r="C16" s="100" t="s">
        <v>394</v>
      </c>
      <c r="D16" s="100" t="s">
        <v>159</v>
      </c>
      <c r="E16" s="100" t="s">
        <v>556</v>
      </c>
      <c r="F16" s="100" t="s">
        <v>670</v>
      </c>
      <c r="G16" s="97" t="str">
        <f>IF(VLOOKUP(B16,'비품현황표(전체)'!$A$1:$F$273,6,FALSE)=0,"",VLOOKUP(B16,'비품현황표(전체)'!$A$1:$F$273,6,FALSE))</f>
        <v>유사발음</v>
      </c>
      <c r="H16" s="101">
        <v>30</v>
      </c>
    </row>
    <row r="17" spans="1:8" x14ac:dyDescent="0.15">
      <c r="A17" s="141">
        <v>16</v>
      </c>
      <c r="B17" s="99" t="s">
        <v>22</v>
      </c>
      <c r="C17" s="100" t="s">
        <v>397</v>
      </c>
      <c r="D17" s="100" t="s">
        <v>218</v>
      </c>
      <c r="E17" s="100" t="s">
        <v>577</v>
      </c>
      <c r="F17" s="100" t="s">
        <v>673</v>
      </c>
      <c r="G17" s="97" t="str">
        <f>IF(VLOOKUP(B17,'비품현황표(전체)'!$A$1:$F$273,6,FALSE)=0,"",VLOOKUP(B17,'비품현황표(전체)'!$A$1:$F$273,6,FALSE))</f>
        <v>유사발음</v>
      </c>
      <c r="H17" s="101">
        <v>2</v>
      </c>
    </row>
    <row r="18" spans="1:8" x14ac:dyDescent="0.15">
      <c r="A18" s="141">
        <v>17</v>
      </c>
      <c r="B18" s="99" t="s">
        <v>3</v>
      </c>
      <c r="C18" s="100" t="s">
        <v>398</v>
      </c>
      <c r="D18" s="100" t="s">
        <v>219</v>
      </c>
      <c r="E18" s="100" t="s">
        <v>583</v>
      </c>
      <c r="F18" s="100" t="s">
        <v>651</v>
      </c>
      <c r="G18" s="97" t="str">
        <f>IF(VLOOKUP(B18,'비품현황표(전체)'!$A$1:$F$273,6,FALSE)=0,"",VLOOKUP(B18,'비품현황표(전체)'!$A$1:$F$273,6,FALSE))</f>
        <v>유사발음</v>
      </c>
      <c r="H18" s="101">
        <v>5</v>
      </c>
    </row>
    <row r="19" spans="1:8" x14ac:dyDescent="0.15">
      <c r="A19" s="141">
        <v>18</v>
      </c>
      <c r="B19" s="129" t="s">
        <v>767</v>
      </c>
      <c r="C19" s="129" t="s">
        <v>400</v>
      </c>
      <c r="D19" s="129" t="s">
        <v>768</v>
      </c>
      <c r="E19" s="129" t="s">
        <v>769</v>
      </c>
      <c r="F19" s="129" t="s">
        <v>770</v>
      </c>
      <c r="G19" s="97" t="str">
        <f>IF(VLOOKUP(B19,'비품현황표(전체)'!$A$1:$F$273,6,FALSE)=0,"",VLOOKUP(B19,'비품현황표(전체)'!$A$1:$F$273,6,FALSE))</f>
        <v/>
      </c>
      <c r="H19" s="97">
        <v>10</v>
      </c>
    </row>
    <row r="20" spans="1:8" x14ac:dyDescent="0.15">
      <c r="A20" s="141">
        <v>19</v>
      </c>
      <c r="B20" s="99" t="s">
        <v>66</v>
      </c>
      <c r="C20" s="100" t="s">
        <v>401</v>
      </c>
      <c r="D20" s="100" t="s">
        <v>161</v>
      </c>
      <c r="E20" s="100" t="s">
        <v>556</v>
      </c>
      <c r="F20" s="100" t="s">
        <v>675</v>
      </c>
      <c r="G20" s="97" t="str">
        <f>IF(VLOOKUP(B20,'비품현황표(전체)'!$A$1:$F$273,6,FALSE)=0,"",VLOOKUP(B20,'비품현황표(전체)'!$A$1:$F$273,6,FALSE))</f>
        <v>유사발음</v>
      </c>
      <c r="H20" s="101">
        <v>50</v>
      </c>
    </row>
    <row r="21" spans="1:8" x14ac:dyDescent="0.15">
      <c r="A21" s="141">
        <v>20</v>
      </c>
      <c r="B21" s="100" t="s">
        <v>330</v>
      </c>
      <c r="C21" s="100" t="s">
        <v>506</v>
      </c>
      <c r="D21" s="100" t="s">
        <v>329</v>
      </c>
      <c r="E21" s="100" t="s">
        <v>585</v>
      </c>
      <c r="F21" s="100" t="s">
        <v>655</v>
      </c>
      <c r="G21" s="97" t="str">
        <f>IF(VLOOKUP(B21,'비품현황표(전체)'!$A$1:$F$273,6,FALSE)=0,"",VLOOKUP(B21,'비품현황표(전체)'!$A$1:$F$273,6,FALSE))</f>
        <v>유사발음</v>
      </c>
      <c r="H21" s="101">
        <v>2</v>
      </c>
    </row>
    <row r="22" spans="1:8" x14ac:dyDescent="0.15">
      <c r="A22" s="141">
        <v>21</v>
      </c>
      <c r="B22" s="99" t="s">
        <v>21</v>
      </c>
      <c r="C22" s="100" t="s">
        <v>402</v>
      </c>
      <c r="D22" s="100" t="s">
        <v>162</v>
      </c>
      <c r="E22" s="100" t="s">
        <v>556</v>
      </c>
      <c r="F22" s="100" t="s">
        <v>676</v>
      </c>
      <c r="G22" s="97" t="str">
        <f>IF(VLOOKUP(B22,'비품현황표(전체)'!$A$1:$F$273,6,FALSE)=0,"",VLOOKUP(B22,'비품현황표(전체)'!$A$1:$F$273,6,FALSE))</f>
        <v>유사발음</v>
      </c>
      <c r="H22" s="101">
        <v>40</v>
      </c>
    </row>
    <row r="23" spans="1:8" x14ac:dyDescent="0.15">
      <c r="A23" s="141">
        <v>22</v>
      </c>
      <c r="B23" s="128" t="s">
        <v>30</v>
      </c>
      <c r="C23" s="129" t="s">
        <v>408</v>
      </c>
      <c r="D23" s="129" t="s">
        <v>163</v>
      </c>
      <c r="E23" s="129" t="s">
        <v>556</v>
      </c>
      <c r="F23" s="129" t="s">
        <v>871</v>
      </c>
      <c r="G23" s="97" t="str">
        <f>IF(VLOOKUP(B23,'비품현황표(전체)'!$A$1:$F$273,6,FALSE)=0,"",VLOOKUP(B23,'비품현황표(전체)'!$A$1:$F$273,6,FALSE))</f>
        <v/>
      </c>
      <c r="H23" s="97">
        <v>2</v>
      </c>
    </row>
    <row r="24" spans="1:8" x14ac:dyDescent="0.15">
      <c r="A24" s="141">
        <v>23</v>
      </c>
      <c r="B24" s="128" t="s">
        <v>543</v>
      </c>
      <c r="C24" s="129" t="s">
        <v>80</v>
      </c>
      <c r="D24" s="129" t="s">
        <v>80</v>
      </c>
      <c r="E24" s="129" t="s">
        <v>574</v>
      </c>
      <c r="F24" s="129" t="s">
        <v>677</v>
      </c>
      <c r="G24" s="97" t="str">
        <f>IF(VLOOKUP(B24,'비품현황표(전체)'!$A$1:$F$273,6,FALSE)=0,"",VLOOKUP(B24,'비품현황표(전체)'!$A$1:$F$273,6,FALSE))</f>
        <v>고위험의약품</v>
      </c>
      <c r="H24" s="97">
        <v>60</v>
      </c>
    </row>
    <row r="25" spans="1:8" x14ac:dyDescent="0.15">
      <c r="A25" s="141">
        <v>24</v>
      </c>
      <c r="B25" s="128" t="s">
        <v>232</v>
      </c>
      <c r="C25" s="129" t="s">
        <v>509</v>
      </c>
      <c r="D25" s="129" t="s">
        <v>233</v>
      </c>
      <c r="E25" s="129" t="s">
        <v>559</v>
      </c>
      <c r="F25" s="129" t="s">
        <v>681</v>
      </c>
      <c r="G25" s="97" t="str">
        <f>IF(VLOOKUP(B25,'비품현황표(전체)'!$A$1:$F$273,6,FALSE)=0,"",VLOOKUP(B25,'비품현황표(전체)'!$A$1:$F$273,6,FALSE))</f>
        <v/>
      </c>
      <c r="H25" s="97">
        <v>5</v>
      </c>
    </row>
    <row r="26" spans="1:8" x14ac:dyDescent="0.15">
      <c r="A26" s="141">
        <v>25</v>
      </c>
      <c r="B26" s="95" t="s">
        <v>67</v>
      </c>
      <c r="C26" s="96" t="s">
        <v>417</v>
      </c>
      <c r="D26" s="96" t="s">
        <v>192</v>
      </c>
      <c r="E26" s="96" t="s">
        <v>554</v>
      </c>
      <c r="F26" s="96" t="s">
        <v>685</v>
      </c>
      <c r="G26" s="97" t="str">
        <f>IF(VLOOKUP(B26,'비품현황표(전체)'!$A$1:$F$273,6,FALSE)=0,"",VLOOKUP(B26,'비품현황표(전체)'!$A$1:$F$273,6,FALSE))</f>
        <v/>
      </c>
      <c r="H26" s="98">
        <v>2</v>
      </c>
    </row>
    <row r="27" spans="1:8" x14ac:dyDescent="0.15">
      <c r="A27" s="141">
        <v>26</v>
      </c>
      <c r="B27" s="129" t="s">
        <v>53</v>
      </c>
      <c r="C27" s="129" t="s">
        <v>420</v>
      </c>
      <c r="D27" s="129" t="s">
        <v>130</v>
      </c>
      <c r="E27" s="129" t="s">
        <v>556</v>
      </c>
      <c r="F27" s="129" t="s">
        <v>647</v>
      </c>
      <c r="G27" s="97" t="str">
        <f>IF(VLOOKUP(B27,'비품현황표(전체)'!$A$1:$F$273,6,FALSE)=0,"",VLOOKUP(B27,'비품현황표(전체)'!$A$1:$F$273,6,FALSE))</f>
        <v/>
      </c>
      <c r="H27" s="97">
        <v>40</v>
      </c>
    </row>
    <row r="28" spans="1:8" x14ac:dyDescent="0.15">
      <c r="A28" s="141">
        <v>27</v>
      </c>
      <c r="B28" s="129" t="s">
        <v>87</v>
      </c>
      <c r="C28" s="129" t="s">
        <v>421</v>
      </c>
      <c r="D28" s="129" t="s">
        <v>168</v>
      </c>
      <c r="E28" s="129" t="s">
        <v>556</v>
      </c>
      <c r="F28" s="129" t="s">
        <v>691</v>
      </c>
      <c r="G28" s="97" t="str">
        <f>IF(VLOOKUP(B28,'비품현황표(전체)'!$A$1:$F$273,6,FALSE)=0,"",VLOOKUP(B28,'비품현황표(전체)'!$A$1:$F$273,6,FALSE))</f>
        <v/>
      </c>
      <c r="H28" s="97">
        <v>20</v>
      </c>
    </row>
    <row r="29" spans="1:8" x14ac:dyDescent="0.15">
      <c r="A29" s="141">
        <v>28</v>
      </c>
      <c r="B29" s="99" t="s">
        <v>63</v>
      </c>
      <c r="C29" s="100" t="s">
        <v>422</v>
      </c>
      <c r="D29" s="100" t="s">
        <v>169</v>
      </c>
      <c r="E29" s="100" t="s">
        <v>556</v>
      </c>
      <c r="F29" s="100" t="s">
        <v>692</v>
      </c>
      <c r="G29" s="97" t="str">
        <f>IF(VLOOKUP(B29,'비품현황표(전체)'!$A$1:$F$273,6,FALSE)=0,"",VLOOKUP(B29,'비품현황표(전체)'!$A$1:$F$273,6,FALSE))</f>
        <v>유사모양</v>
      </c>
      <c r="H29" s="101">
        <v>10</v>
      </c>
    </row>
    <row r="30" spans="1:8" s="231" customFormat="1" x14ac:dyDescent="0.15">
      <c r="A30" s="141">
        <v>29</v>
      </c>
      <c r="B30" s="95" t="s">
        <v>1244</v>
      </c>
      <c r="C30" s="96"/>
      <c r="D30" s="96" t="s">
        <v>1245</v>
      </c>
      <c r="E30" s="96"/>
      <c r="F30" s="129" t="s">
        <v>1249</v>
      </c>
      <c r="G30" s="98" t="s">
        <v>1246</v>
      </c>
      <c r="H30" s="98">
        <v>30</v>
      </c>
    </row>
    <row r="31" spans="1:8" x14ac:dyDescent="0.15">
      <c r="A31" s="141">
        <v>30</v>
      </c>
      <c r="B31" s="95" t="s">
        <v>29</v>
      </c>
      <c r="C31" s="96" t="s">
        <v>427</v>
      </c>
      <c r="D31" s="96" t="s">
        <v>171</v>
      </c>
      <c r="E31" s="96" t="s">
        <v>556</v>
      </c>
      <c r="F31" s="96" t="s">
        <v>696</v>
      </c>
      <c r="G31" s="97" t="str">
        <f>IF(VLOOKUP(B31,'비품현황표(전체)'!$A$1:$F$273,6,FALSE)=0,"",VLOOKUP(B31,'비품현황표(전체)'!$A$1:$F$273,6,FALSE))</f>
        <v/>
      </c>
      <c r="H31" s="98">
        <v>10</v>
      </c>
    </row>
    <row r="32" spans="1:8" x14ac:dyDescent="0.15">
      <c r="A32" s="141">
        <v>31</v>
      </c>
      <c r="B32" s="142" t="s">
        <v>368</v>
      </c>
      <c r="C32" s="143" t="s">
        <v>548</v>
      </c>
      <c r="D32" s="143" t="s">
        <v>337</v>
      </c>
      <c r="E32" s="96" t="s">
        <v>597</v>
      </c>
      <c r="F32" s="96" t="s">
        <v>755</v>
      </c>
      <c r="G32" s="97" t="str">
        <f>IF(VLOOKUP(B32,'비품현황표(전체)'!$A$1:$F$273,6,FALSE)=0,"",VLOOKUP(B32,'비품현황표(전체)'!$A$1:$F$273,6,FALSE))</f>
        <v/>
      </c>
      <c r="H32" s="98">
        <v>5</v>
      </c>
    </row>
    <row r="33" spans="1:8" x14ac:dyDescent="0.15">
      <c r="A33" s="141">
        <v>32</v>
      </c>
      <c r="B33" s="142" t="s">
        <v>786</v>
      </c>
      <c r="C33" s="143" t="s">
        <v>787</v>
      </c>
      <c r="D33" s="143" t="s">
        <v>788</v>
      </c>
      <c r="E33" s="96" t="s">
        <v>789</v>
      </c>
      <c r="F33" s="96" t="s">
        <v>790</v>
      </c>
      <c r="G33" s="97" t="str">
        <f>IF(VLOOKUP(B33,'비품현황표(전체)'!$A$1:$F$273,6,FALSE)=0,"",VLOOKUP(B33,'비품현황표(전체)'!$A$1:$F$273,6,FALSE))</f>
        <v/>
      </c>
      <c r="H33" s="98">
        <v>40</v>
      </c>
    </row>
    <row r="34" spans="1:8" x14ac:dyDescent="0.15">
      <c r="A34" s="141">
        <v>33</v>
      </c>
      <c r="B34" s="96" t="s">
        <v>23</v>
      </c>
      <c r="C34" s="112" t="s">
        <v>437</v>
      </c>
      <c r="D34" s="112" t="s">
        <v>172</v>
      </c>
      <c r="E34" s="96" t="s">
        <v>556</v>
      </c>
      <c r="F34" s="96" t="s">
        <v>648</v>
      </c>
      <c r="G34" s="97" t="str">
        <f>IF(VLOOKUP(B34,'비품현황표(전체)'!$A$1:$F$273,6,FALSE)=0,"",VLOOKUP(B34,'비품현황표(전체)'!$A$1:$F$273,6,FALSE))</f>
        <v/>
      </c>
      <c r="H34" s="98">
        <v>100</v>
      </c>
    </row>
    <row r="35" spans="1:8" x14ac:dyDescent="0.15">
      <c r="A35" s="141">
        <v>34</v>
      </c>
      <c r="B35" s="95" t="s">
        <v>269</v>
      </c>
      <c r="C35" s="96" t="s">
        <v>525</v>
      </c>
      <c r="D35" s="96" t="s">
        <v>1315</v>
      </c>
      <c r="E35" s="96" t="s">
        <v>566</v>
      </c>
      <c r="F35" s="96" t="s">
        <v>655</v>
      </c>
      <c r="G35" s="97" t="e">
        <f>IF(VLOOKUP(B35,'비품현황표(전체)'!$A$1:$F$273,6,FALSE)=0,"",VLOOKUP(B35,'비품현황표(전체)'!$A$1:$F$273,6,FALSE))</f>
        <v>#N/A</v>
      </c>
      <c r="H35" s="98">
        <v>2</v>
      </c>
    </row>
    <row r="36" spans="1:8" x14ac:dyDescent="0.15">
      <c r="A36" s="141">
        <v>35</v>
      </c>
      <c r="B36" s="99" t="s">
        <v>65</v>
      </c>
      <c r="C36" s="100" t="s">
        <v>441</v>
      </c>
      <c r="D36" s="100" t="s">
        <v>173</v>
      </c>
      <c r="E36" s="100" t="s">
        <v>561</v>
      </c>
      <c r="F36" s="100" t="s">
        <v>702</v>
      </c>
      <c r="G36" s="101" t="str">
        <f>IF(VLOOKUP(B36,'비품현황표(전체)'!$A$1:$F$273,6,FALSE)=0,"",VLOOKUP(B36,'비품현황표(전체)'!$A$1:$F$273,6,FALSE))</f>
        <v>용량고주의</v>
      </c>
      <c r="H36" s="101">
        <v>5</v>
      </c>
    </row>
    <row r="37" spans="1:8" x14ac:dyDescent="0.15">
      <c r="A37" s="141">
        <v>36</v>
      </c>
      <c r="B37" s="95" t="s">
        <v>62</v>
      </c>
      <c r="C37" s="96" t="s">
        <v>442</v>
      </c>
      <c r="D37" s="96" t="s">
        <v>174</v>
      </c>
      <c r="E37" s="96" t="s">
        <v>559</v>
      </c>
      <c r="F37" s="96" t="s">
        <v>703</v>
      </c>
      <c r="G37" s="97" t="str">
        <f>IF(VLOOKUP(B37,'비품현황표(전체)'!$A$1:$F$273,6,FALSE)=0,"",VLOOKUP(B37,'비품현황표(전체)'!$A$1:$F$273,6,FALSE))</f>
        <v/>
      </c>
      <c r="H37" s="98">
        <v>10</v>
      </c>
    </row>
    <row r="38" spans="1:8" x14ac:dyDescent="0.15">
      <c r="A38" s="141">
        <v>37</v>
      </c>
      <c r="B38" s="128" t="s">
        <v>71</v>
      </c>
      <c r="C38" s="129" t="s">
        <v>443</v>
      </c>
      <c r="D38" s="129" t="s">
        <v>79</v>
      </c>
      <c r="E38" s="129" t="s">
        <v>604</v>
      </c>
      <c r="F38" s="129" t="s">
        <v>704</v>
      </c>
      <c r="G38" s="97" t="str">
        <f>IF(VLOOKUP(B38,'비품현황표(전체)'!$A$1:$F$273,6,FALSE)=0,"",VLOOKUP(B38,'비품현황표(전체)'!$A$1:$F$273,6,FALSE))</f>
        <v/>
      </c>
      <c r="H38" s="97">
        <v>40</v>
      </c>
    </row>
    <row r="39" spans="1:8" x14ac:dyDescent="0.15">
      <c r="A39" s="141">
        <v>38</v>
      </c>
      <c r="B39" s="120" t="s">
        <v>93</v>
      </c>
      <c r="C39" s="156" t="s">
        <v>446</v>
      </c>
      <c r="D39" s="156" t="s">
        <v>175</v>
      </c>
      <c r="E39" s="100" t="s">
        <v>582</v>
      </c>
      <c r="F39" s="100" t="s">
        <v>648</v>
      </c>
      <c r="G39" s="97" t="str">
        <f>IF(VLOOKUP(B39,'비품현황표(전체)'!$A$1:$F$273,6,FALSE)=0,"",VLOOKUP(B39,'비품현황표(전체)'!$A$1:$F$273,6,FALSE))</f>
        <v>유사모양</v>
      </c>
      <c r="H39" s="101">
        <v>10</v>
      </c>
    </row>
    <row r="40" spans="1:8" x14ac:dyDescent="0.15">
      <c r="A40" s="141">
        <v>39</v>
      </c>
      <c r="B40" s="136" t="s">
        <v>841</v>
      </c>
      <c r="C40" s="159" t="s">
        <v>447</v>
      </c>
      <c r="D40" s="159" t="s">
        <v>201</v>
      </c>
      <c r="E40" s="129" t="s">
        <v>563</v>
      </c>
      <c r="F40" s="129" t="s">
        <v>709</v>
      </c>
      <c r="G40" s="97" t="str">
        <f>IF(VLOOKUP(B40,'비품현황표(전체)'!$A$1:$F$273,6,FALSE)=0,"",VLOOKUP(B40,'비품현황표(전체)'!$A$1:$F$273,6,FALSE))</f>
        <v/>
      </c>
      <c r="H40" s="97">
        <v>2</v>
      </c>
    </row>
    <row r="41" spans="1:8" x14ac:dyDescent="0.15">
      <c r="A41" s="141">
        <v>40</v>
      </c>
      <c r="B41" s="129" t="s">
        <v>24</v>
      </c>
      <c r="C41" s="129" t="s">
        <v>448</v>
      </c>
      <c r="D41" s="129" t="s">
        <v>138</v>
      </c>
      <c r="E41" s="129" t="s">
        <v>561</v>
      </c>
      <c r="F41" s="129" t="s">
        <v>710</v>
      </c>
      <c r="G41" s="97" t="str">
        <f>IF(VLOOKUP(B41,'비품현황표(전체)'!$A$1:$F$273,6,FALSE)=0,"",VLOOKUP(B41,'비품현황표(전체)'!$A$1:$F$273,6,FALSE))</f>
        <v/>
      </c>
      <c r="H41" s="97">
        <v>20</v>
      </c>
    </row>
    <row r="42" spans="1:8" x14ac:dyDescent="0.15">
      <c r="A42" s="141">
        <v>41</v>
      </c>
      <c r="B42" s="128" t="s">
        <v>10</v>
      </c>
      <c r="C42" s="129" t="s">
        <v>449</v>
      </c>
      <c r="D42" s="129" t="s">
        <v>213</v>
      </c>
      <c r="E42" s="129" t="s">
        <v>556</v>
      </c>
      <c r="F42" s="129" t="s">
        <v>711</v>
      </c>
      <c r="G42" s="97" t="str">
        <f>IF(VLOOKUP(B42,'비품현황표(전체)'!$A$1:$F$273,6,FALSE)=0,"",VLOOKUP(B42,'비품현황표(전체)'!$A$1:$F$273,6,FALSE))</f>
        <v/>
      </c>
      <c r="H42" s="97">
        <v>12</v>
      </c>
    </row>
    <row r="43" spans="1:8" x14ac:dyDescent="0.15">
      <c r="A43" s="141">
        <v>42</v>
      </c>
      <c r="B43" s="128" t="s">
        <v>234</v>
      </c>
      <c r="C43" s="129" t="s">
        <v>452</v>
      </c>
      <c r="D43" s="129" t="s">
        <v>136</v>
      </c>
      <c r="E43" s="129" t="s">
        <v>560</v>
      </c>
      <c r="F43" s="129" t="s">
        <v>1021</v>
      </c>
      <c r="G43" s="97" t="str">
        <f>IF(VLOOKUP(B43,'비품현황표(전체)'!$A$1:$F$273,6,FALSE)=0,"",VLOOKUP(B43,'비품현황표(전체)'!$A$1:$F$273,6,FALSE))</f>
        <v/>
      </c>
      <c r="H43" s="97">
        <v>5</v>
      </c>
    </row>
    <row r="44" spans="1:8" x14ac:dyDescent="0.15">
      <c r="A44" s="141">
        <v>43</v>
      </c>
      <c r="B44" s="100" t="s">
        <v>39</v>
      </c>
      <c r="C44" s="100" t="s">
        <v>455</v>
      </c>
      <c r="D44" s="100" t="s">
        <v>134</v>
      </c>
      <c r="E44" s="100" t="s">
        <v>561</v>
      </c>
      <c r="F44" s="100" t="s">
        <v>718</v>
      </c>
      <c r="G44" s="97" t="str">
        <f>IF(VLOOKUP(B44,'비품현황표(전체)'!$A$1:$F$273,6,FALSE)=0,"",VLOOKUP(B44,'비품현황표(전체)'!$A$1:$F$273,6,FALSE))</f>
        <v>유사발음</v>
      </c>
      <c r="H44" s="101">
        <v>3</v>
      </c>
    </row>
    <row r="45" spans="1:8" x14ac:dyDescent="0.15">
      <c r="A45" s="141">
        <v>44</v>
      </c>
      <c r="B45" s="128" t="s">
        <v>37</v>
      </c>
      <c r="C45" s="129" t="s">
        <v>456</v>
      </c>
      <c r="D45" s="129" t="s">
        <v>202</v>
      </c>
      <c r="E45" s="129" t="s">
        <v>554</v>
      </c>
      <c r="F45" s="129" t="s">
        <v>720</v>
      </c>
      <c r="G45" s="97" t="str">
        <f>IF(VLOOKUP(B45,'비품현황표(전체)'!$A$1:$F$273,6,FALSE)=0,"",VLOOKUP(B45,'비품현황표(전체)'!$A$1:$F$273,6,FALSE))</f>
        <v/>
      </c>
      <c r="H45" s="97">
        <v>30</v>
      </c>
    </row>
    <row r="46" spans="1:8" x14ac:dyDescent="0.15">
      <c r="A46" s="141">
        <v>45</v>
      </c>
      <c r="B46" s="99" t="s">
        <v>779</v>
      </c>
      <c r="C46" s="100" t="s">
        <v>780</v>
      </c>
      <c r="D46" s="100" t="s">
        <v>781</v>
      </c>
      <c r="E46" s="100" t="s">
        <v>782</v>
      </c>
      <c r="F46" s="100" t="s">
        <v>664</v>
      </c>
      <c r="G46" s="97" t="str">
        <f>IF(VLOOKUP(B46,'비품현황표(전체)'!$A$1:$F$273,6,FALSE)=0,"",VLOOKUP(B46,'비품현황표(전체)'!$A$1:$F$273,6,FALSE))</f>
        <v>유사발음</v>
      </c>
      <c r="H46" s="101">
        <v>20</v>
      </c>
    </row>
    <row r="47" spans="1:8" x14ac:dyDescent="0.15">
      <c r="A47" s="141">
        <v>46</v>
      </c>
      <c r="B47" s="24" t="s">
        <v>1368</v>
      </c>
      <c r="C47" s="2"/>
      <c r="D47" s="2" t="s">
        <v>1369</v>
      </c>
      <c r="E47" s="100"/>
      <c r="F47" s="71" t="s">
        <v>1370</v>
      </c>
      <c r="G47" s="97"/>
      <c r="H47" s="97">
        <v>2</v>
      </c>
    </row>
    <row r="48" spans="1:8" x14ac:dyDescent="0.15">
      <c r="A48" s="141">
        <v>47</v>
      </c>
      <c r="B48" s="128" t="s">
        <v>64</v>
      </c>
      <c r="C48" s="129" t="s">
        <v>461</v>
      </c>
      <c r="D48" s="129" t="s">
        <v>177</v>
      </c>
      <c r="E48" s="129" t="s">
        <v>561</v>
      </c>
      <c r="F48" s="129" t="s">
        <v>722</v>
      </c>
      <c r="G48" s="97" t="str">
        <f>IF(VLOOKUP(B48,'비품현황표(전체)'!$A$1:$F$273,6,FALSE)=0,"",VLOOKUP(B48,'비품현황표(전체)'!$A$1:$F$273,6,FALSE))</f>
        <v/>
      </c>
      <c r="H48" s="97">
        <v>4</v>
      </c>
    </row>
    <row r="49" spans="1:8" x14ac:dyDescent="0.15">
      <c r="A49" s="141">
        <v>48</v>
      </c>
      <c r="B49" s="95" t="s">
        <v>20</v>
      </c>
      <c r="C49" s="96" t="s">
        <v>462</v>
      </c>
      <c r="D49" s="96" t="s">
        <v>78</v>
      </c>
      <c r="E49" s="96" t="s">
        <v>559</v>
      </c>
      <c r="F49" s="96" t="s">
        <v>684</v>
      </c>
      <c r="G49" s="97" t="str">
        <f>IF(VLOOKUP(B49,'비품현황표(전체)'!$A$1:$F$273,6,FALSE)=0,"",VLOOKUP(B49,'비품현황표(전체)'!$A$1:$F$273,6,FALSE))</f>
        <v/>
      </c>
      <c r="H49" s="98">
        <v>10</v>
      </c>
    </row>
    <row r="50" spans="1:8" x14ac:dyDescent="0.15">
      <c r="A50" s="141">
        <v>49</v>
      </c>
      <c r="B50" s="99" t="s">
        <v>56</v>
      </c>
      <c r="C50" s="156" t="s">
        <v>463</v>
      </c>
      <c r="D50" s="156" t="s">
        <v>178</v>
      </c>
      <c r="E50" s="100" t="s">
        <v>556</v>
      </c>
      <c r="F50" s="100" t="s">
        <v>725</v>
      </c>
      <c r="G50" s="97" t="str">
        <f>IF(VLOOKUP(B50,'비품현황표(전체)'!$A$1:$F$273,6,FALSE)=0,"",VLOOKUP(B50,'비품현황표(전체)'!$A$1:$F$273,6,FALSE))</f>
        <v>유사발음</v>
      </c>
      <c r="H50" s="101">
        <v>150</v>
      </c>
    </row>
    <row r="51" spans="1:8" x14ac:dyDescent="0.15">
      <c r="A51" s="141">
        <v>50</v>
      </c>
      <c r="B51" s="100" t="s">
        <v>118</v>
      </c>
      <c r="C51" s="100" t="s">
        <v>467</v>
      </c>
      <c r="D51" s="100" t="s">
        <v>142</v>
      </c>
      <c r="E51" s="100" t="s">
        <v>590</v>
      </c>
      <c r="F51" s="100" t="s">
        <v>728</v>
      </c>
      <c r="G51" s="101" t="str">
        <f>IF(VLOOKUP(B51,'비품현황표(전체)'!$A$1:$F$273,6,FALSE)=0,"",VLOOKUP(B51,'비품현황표(전체)'!$A$1:$F$273,6,FALSE))</f>
        <v>용량고주의</v>
      </c>
      <c r="H51" s="101">
        <v>1</v>
      </c>
    </row>
    <row r="52" spans="1:8" x14ac:dyDescent="0.15">
      <c r="A52" s="141">
        <v>51</v>
      </c>
      <c r="B52" s="95" t="s">
        <v>551</v>
      </c>
      <c r="C52" s="96" t="s">
        <v>552</v>
      </c>
      <c r="D52" s="96" t="s">
        <v>204</v>
      </c>
      <c r="E52" s="96" t="s">
        <v>556</v>
      </c>
      <c r="F52" s="96" t="s">
        <v>661</v>
      </c>
      <c r="G52" s="97" t="str">
        <f>IF(VLOOKUP(B52,'비품현황표(전체)'!$A$1:$F$273,6,FALSE)=0,"",VLOOKUP(B52,'비품현황표(전체)'!$A$1:$F$273,6,FALSE))</f>
        <v/>
      </c>
      <c r="H52" s="98">
        <v>20</v>
      </c>
    </row>
    <row r="53" spans="1:8" x14ac:dyDescent="0.15">
      <c r="A53" s="141">
        <v>52</v>
      </c>
      <c r="B53" s="128" t="s">
        <v>1238</v>
      </c>
      <c r="C53" s="129" t="s">
        <v>495</v>
      </c>
      <c r="D53" s="129" t="s">
        <v>1243</v>
      </c>
      <c r="E53" s="129" t="s">
        <v>574</v>
      </c>
      <c r="F53" s="129" t="s">
        <v>654</v>
      </c>
      <c r="G53" s="97"/>
      <c r="H53" s="97">
        <v>10</v>
      </c>
    </row>
    <row r="54" spans="1:8" x14ac:dyDescent="0.15">
      <c r="A54" s="141">
        <v>53</v>
      </c>
      <c r="B54" s="128" t="s">
        <v>1019</v>
      </c>
      <c r="C54" s="129" t="s">
        <v>495</v>
      </c>
      <c r="D54" s="129" t="s">
        <v>1020</v>
      </c>
      <c r="E54" s="129" t="s">
        <v>574</v>
      </c>
      <c r="F54" s="129" t="s">
        <v>654</v>
      </c>
      <c r="G54" s="97" t="str">
        <f>IF(VLOOKUP(B54,'비품현황표(전체)'!$A$1:$F$273,6,FALSE)=0,"",VLOOKUP(B54,'비품현황표(전체)'!$A$1:$F$273,6,FALSE))</f>
        <v/>
      </c>
      <c r="H54" s="97">
        <v>40</v>
      </c>
    </row>
    <row r="55" spans="1:8" x14ac:dyDescent="0.15">
      <c r="A55" s="141">
        <v>54</v>
      </c>
      <c r="B55" s="128" t="s">
        <v>880</v>
      </c>
      <c r="C55" s="129" t="s">
        <v>881</v>
      </c>
      <c r="D55" s="129" t="s">
        <v>882</v>
      </c>
      <c r="E55" s="129" t="s">
        <v>883</v>
      </c>
      <c r="F55" s="129" t="s">
        <v>884</v>
      </c>
      <c r="G55" s="97" t="str">
        <f>IF(VLOOKUP(B55,'비품현황표(전체)'!$A$1:$F$273,6,FALSE)=0,"",VLOOKUP(B55,'비품현황표(전체)'!$A$1:$F$273,6,FALSE))</f>
        <v/>
      </c>
      <c r="H55" s="97">
        <v>5</v>
      </c>
    </row>
    <row r="56" spans="1:8" x14ac:dyDescent="0.15">
      <c r="A56" s="141">
        <v>55</v>
      </c>
      <c r="B56" s="128" t="s">
        <v>59</v>
      </c>
      <c r="C56" s="129" t="s">
        <v>478</v>
      </c>
      <c r="D56" s="129" t="s">
        <v>143</v>
      </c>
      <c r="E56" s="129" t="s">
        <v>561</v>
      </c>
      <c r="F56" s="129" t="s">
        <v>661</v>
      </c>
      <c r="G56" s="97" t="str">
        <f>IF(VLOOKUP(B56,'비품현황표(전체)'!$A$1:$F$273,6,FALSE)=0,"",VLOOKUP(B56,'비품현황표(전체)'!$A$1:$F$273,6,FALSE))</f>
        <v/>
      </c>
      <c r="H56" s="97">
        <v>10</v>
      </c>
    </row>
    <row r="57" spans="1:8" x14ac:dyDescent="0.15">
      <c r="A57" s="141">
        <v>56</v>
      </c>
      <c r="B57" s="128" t="s">
        <v>44</v>
      </c>
      <c r="C57" s="129" t="s">
        <v>480</v>
      </c>
      <c r="D57" s="129" t="s">
        <v>216</v>
      </c>
      <c r="E57" s="129" t="s">
        <v>561</v>
      </c>
      <c r="F57" s="129" t="s">
        <v>739</v>
      </c>
      <c r="G57" s="97" t="str">
        <f>IF(VLOOKUP(B57,'비품현황표(전체)'!$A$1:$F$273,6,FALSE)=0,"",VLOOKUP(B57,'비품현황표(전체)'!$A$1:$F$273,6,FALSE))</f>
        <v/>
      </c>
      <c r="H57" s="97">
        <v>2</v>
      </c>
    </row>
    <row r="58" spans="1:8" x14ac:dyDescent="0.15">
      <c r="A58" s="141">
        <v>57</v>
      </c>
      <c r="B58" s="129" t="s">
        <v>268</v>
      </c>
      <c r="C58" s="129" t="s">
        <v>541</v>
      </c>
      <c r="D58" s="129" t="s">
        <v>262</v>
      </c>
      <c r="E58" s="129" t="s">
        <v>573</v>
      </c>
      <c r="F58" s="129" t="s">
        <v>741</v>
      </c>
      <c r="G58" s="97" t="str">
        <f>IF(VLOOKUP(B58,'비품현황표(전체)'!$A$1:$F$273,6,FALSE)=0,"",VLOOKUP(B58,'비품현황표(전체)'!$A$1:$F$273,6,FALSE))</f>
        <v/>
      </c>
      <c r="H58" s="97">
        <v>30</v>
      </c>
    </row>
    <row r="59" spans="1:8" x14ac:dyDescent="0.15">
      <c r="A59" s="141">
        <v>58</v>
      </c>
      <c r="B59" s="149" t="s">
        <v>90</v>
      </c>
      <c r="C59" s="137" t="s">
        <v>486</v>
      </c>
      <c r="D59" s="137" t="s">
        <v>223</v>
      </c>
      <c r="E59" s="137" t="s">
        <v>622</v>
      </c>
      <c r="F59" s="137" t="s">
        <v>746</v>
      </c>
      <c r="G59" s="139" t="str">
        <f>IF(VLOOKUP(B59,'비품현황표(전체)'!$A$1:$F$273,6,FALSE)=0,"",VLOOKUP(B59,'비품현황표(전체)'!$A$1:$F$273,6,FALSE))</f>
        <v/>
      </c>
      <c r="H59" s="139">
        <v>5</v>
      </c>
    </row>
    <row r="60" spans="1:8" x14ac:dyDescent="0.15">
      <c r="A60" s="81"/>
      <c r="B60" s="81"/>
      <c r="C60" s="81"/>
      <c r="D60" s="93" t="s">
        <v>804</v>
      </c>
      <c r="E60" s="81"/>
      <c r="F60" s="106"/>
      <c r="G60" s="81"/>
      <c r="H60" s="110">
        <v>58</v>
      </c>
    </row>
  </sheetData>
  <phoneticPr fontId="1" type="noConversion"/>
  <conditionalFormatting sqref="G2:G59">
    <cfRule type="containsText" dxfId="126" priority="2" operator="containsText" text="유사">
      <formula>NOT(ISERROR(SEARCH("유사",G2)))</formula>
    </cfRule>
    <cfRule type="containsText" priority="3" operator="containsText" text="유사 용량">
      <formula>NOT(ISERROR(SEARCH("유사 용량",G2)))</formula>
    </cfRule>
    <cfRule type="containsText" dxfId="125" priority="4" operator="containsText" text="혼돈주의약품, 유사모양, 유사발음">
      <formula>NOT(ISERROR(SEARCH("혼돈주의약품, 유사모양, 유사발음",G2)))</formula>
    </cfRule>
  </conditionalFormatting>
  <conditionalFormatting sqref="B47">
    <cfRule type="duplicateValues" dxfId="124" priority="1"/>
  </conditionalFormatting>
  <pageMargins left="0.7" right="0.7" top="0.75" bottom="0.75" header="0.3" footer="0.3"/>
  <pageSetup paperSize="9" orientation="portrait" r:id="rId1"/>
  <headerFooter>
    <oddHeader>&amp;C&amp;"돋움,굵게"AN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view="pageLayout" zoomScaleNormal="100" workbookViewId="0">
      <selection activeCell="H23" sqref="H23"/>
    </sheetView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8.77734375" customWidth="1"/>
    <col min="7" max="7" width="7.5546875" customWidth="1"/>
    <col min="8" max="8" width="6.2187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103" t="s">
        <v>359</v>
      </c>
      <c r="H1" s="104" t="s">
        <v>1306</v>
      </c>
    </row>
    <row r="2" spans="1:8" x14ac:dyDescent="0.15">
      <c r="A2" s="305">
        <v>1</v>
      </c>
      <c r="B2" s="24" t="s">
        <v>0</v>
      </c>
      <c r="C2" s="25" t="s">
        <v>814</v>
      </c>
      <c r="D2" s="2" t="s">
        <v>1</v>
      </c>
      <c r="E2" s="2" t="s">
        <v>575</v>
      </c>
      <c r="F2" s="2" t="s">
        <v>656</v>
      </c>
      <c r="G2" s="306"/>
      <c r="H2" s="305">
        <v>10</v>
      </c>
    </row>
    <row r="3" spans="1:8" x14ac:dyDescent="0.15">
      <c r="A3" s="305">
        <v>2</v>
      </c>
      <c r="B3" s="128" t="s">
        <v>84</v>
      </c>
      <c r="C3" s="129" t="s">
        <v>384</v>
      </c>
      <c r="D3" s="129" t="s">
        <v>86</v>
      </c>
      <c r="E3" s="129" t="s">
        <v>575</v>
      </c>
      <c r="F3" s="129" t="s">
        <v>657</v>
      </c>
      <c r="G3" s="97" t="str">
        <f>IF(VLOOKUP(B3,'비품현황표(전체)'!$A$1:$F$273,6,FALSE)=0,"",VLOOKUP(B3,'비품현황표(전체)'!$A$1:$F$273,6,FALSE))</f>
        <v/>
      </c>
      <c r="H3" s="97">
        <v>8</v>
      </c>
    </row>
    <row r="4" spans="1:8" x14ac:dyDescent="0.15">
      <c r="A4" s="305">
        <v>3</v>
      </c>
      <c r="B4" s="128" t="s">
        <v>1079</v>
      </c>
      <c r="C4" s="2" t="s">
        <v>1074</v>
      </c>
      <c r="D4" s="2" t="s">
        <v>1075</v>
      </c>
      <c r="E4" s="2" t="s">
        <v>1077</v>
      </c>
      <c r="F4" s="2" t="s">
        <v>1078</v>
      </c>
      <c r="G4" s="97"/>
      <c r="H4" s="97">
        <v>12</v>
      </c>
    </row>
    <row r="5" spans="1:8" x14ac:dyDescent="0.15">
      <c r="A5" s="305">
        <v>4</v>
      </c>
      <c r="B5" s="24" t="s">
        <v>1157</v>
      </c>
      <c r="C5" s="2"/>
      <c r="D5" s="2" t="s">
        <v>1158</v>
      </c>
      <c r="E5" s="2"/>
      <c r="F5" s="2" t="s">
        <v>1159</v>
      </c>
      <c r="G5" s="97" t="s">
        <v>1160</v>
      </c>
      <c r="H5" s="97">
        <v>30</v>
      </c>
    </row>
    <row r="6" spans="1:8" x14ac:dyDescent="0.15">
      <c r="A6" s="305">
        <v>5</v>
      </c>
      <c r="B6" s="128" t="s">
        <v>25</v>
      </c>
      <c r="C6" s="129" t="s">
        <v>386</v>
      </c>
      <c r="D6" s="129" t="s">
        <v>158</v>
      </c>
      <c r="E6" s="129" t="s">
        <v>561</v>
      </c>
      <c r="F6" s="129" t="s">
        <v>653</v>
      </c>
      <c r="G6" s="97" t="str">
        <f>IF(VLOOKUP(B6,'비품현황표(전체)'!$A$1:$F$273,6,FALSE)=0,"",VLOOKUP(B6,'비품현황표(전체)'!$A$1:$F$273,6,FALSE))</f>
        <v/>
      </c>
      <c r="H6" s="97">
        <v>5</v>
      </c>
    </row>
    <row r="7" spans="1:8" x14ac:dyDescent="0.15">
      <c r="A7" s="305">
        <v>6</v>
      </c>
      <c r="B7" s="128" t="s">
        <v>228</v>
      </c>
      <c r="C7" s="129" t="s">
        <v>501</v>
      </c>
      <c r="D7" s="129" t="s">
        <v>229</v>
      </c>
      <c r="E7" s="129" t="s">
        <v>557</v>
      </c>
      <c r="F7" s="129" t="s">
        <v>667</v>
      </c>
      <c r="G7" s="97" t="str">
        <f>IF(VLOOKUP(B7,'비품현황표(전체)'!$A$1:$F$273,6,FALSE)=0,"",VLOOKUP(B7,'비품현황표(전체)'!$A$1:$F$273,6,FALSE))</f>
        <v/>
      </c>
      <c r="H7" s="97">
        <v>5</v>
      </c>
    </row>
    <row r="8" spans="1:8" x14ac:dyDescent="0.15">
      <c r="A8" s="305">
        <v>7</v>
      </c>
      <c r="B8" s="24" t="s">
        <v>1081</v>
      </c>
      <c r="C8" s="2" t="s">
        <v>1082</v>
      </c>
      <c r="D8" s="2" t="s">
        <v>1083</v>
      </c>
      <c r="E8" s="2" t="s">
        <v>1084</v>
      </c>
      <c r="F8" s="71" t="s">
        <v>1085</v>
      </c>
      <c r="G8" s="97"/>
      <c r="H8" s="97">
        <v>10</v>
      </c>
    </row>
    <row r="9" spans="1:8" x14ac:dyDescent="0.15">
      <c r="A9" s="305">
        <v>8</v>
      </c>
      <c r="B9" s="128" t="s">
        <v>30</v>
      </c>
      <c r="C9" s="129" t="s">
        <v>408</v>
      </c>
      <c r="D9" s="129" t="s">
        <v>163</v>
      </c>
      <c r="E9" s="129" t="s">
        <v>556</v>
      </c>
      <c r="F9" s="129" t="s">
        <v>871</v>
      </c>
      <c r="G9" s="97" t="str">
        <f>IF(VLOOKUP(B9,'비품현황표(전체)'!$A$1:$F$273,6,FALSE)=0,"",VLOOKUP(B9,'비품현황표(전체)'!$A$1:$F$273,6,FALSE))</f>
        <v/>
      </c>
      <c r="H9" s="97">
        <v>5</v>
      </c>
    </row>
    <row r="10" spans="1:8" x14ac:dyDescent="0.15">
      <c r="A10" s="305">
        <v>9</v>
      </c>
      <c r="B10" s="128" t="s">
        <v>1283</v>
      </c>
      <c r="C10" s="129" t="s">
        <v>414</v>
      </c>
      <c r="D10" s="129" t="s">
        <v>167</v>
      </c>
      <c r="E10" s="129" t="s">
        <v>556</v>
      </c>
      <c r="F10" s="129" t="s">
        <v>1284</v>
      </c>
      <c r="G10" s="97"/>
      <c r="H10" s="97">
        <v>10</v>
      </c>
    </row>
    <row r="11" spans="1:8" x14ac:dyDescent="0.15">
      <c r="A11" s="305">
        <v>10</v>
      </c>
      <c r="B11" s="128" t="s">
        <v>944</v>
      </c>
      <c r="C11" s="129"/>
      <c r="D11" s="129" t="s">
        <v>943</v>
      </c>
      <c r="E11" s="129"/>
      <c r="F11" s="129" t="s">
        <v>945</v>
      </c>
      <c r="G11" s="97" t="str">
        <f>IF(VLOOKUP(B11,'비품현황표(전체)'!$A$1:$F$273,6,FALSE)=0,"",VLOOKUP(B11,'비품현황표(전체)'!$A$1:$F$273,6,FALSE))</f>
        <v/>
      </c>
      <c r="H11" s="97">
        <v>10</v>
      </c>
    </row>
    <row r="12" spans="1:8" x14ac:dyDescent="0.15">
      <c r="A12" s="305">
        <v>11</v>
      </c>
      <c r="B12" s="25" t="s">
        <v>286</v>
      </c>
      <c r="C12" s="197" t="s">
        <v>512</v>
      </c>
      <c r="D12" s="96" t="s">
        <v>285</v>
      </c>
      <c r="E12" s="198" t="s">
        <v>554</v>
      </c>
      <c r="F12" s="2" t="s">
        <v>686</v>
      </c>
      <c r="G12" s="97"/>
      <c r="H12" s="97">
        <v>50</v>
      </c>
    </row>
    <row r="13" spans="1:8" x14ac:dyDescent="0.15">
      <c r="A13" s="305">
        <v>12</v>
      </c>
      <c r="B13" s="128" t="s">
        <v>998</v>
      </c>
      <c r="C13" s="129"/>
      <c r="D13" s="129" t="s">
        <v>999</v>
      </c>
      <c r="E13" s="129"/>
      <c r="F13" s="72" t="s">
        <v>1000</v>
      </c>
      <c r="G13" s="97" t="str">
        <f>IF(VLOOKUP(B13,'비품현황표(전체)'!$A$1:$F$273,6,FALSE)=0,"",VLOOKUP(B13,'비품현황표(전체)'!$A$1:$F$273,6,FALSE))</f>
        <v/>
      </c>
      <c r="H13" s="97">
        <v>20</v>
      </c>
    </row>
    <row r="14" spans="1:8" x14ac:dyDescent="0.15">
      <c r="A14" s="305">
        <v>13</v>
      </c>
      <c r="B14" s="128" t="s">
        <v>40</v>
      </c>
      <c r="C14" s="129" t="s">
        <v>442</v>
      </c>
      <c r="D14" s="129" t="s">
        <v>2</v>
      </c>
      <c r="E14" s="129" t="s">
        <v>559</v>
      </c>
      <c r="F14" s="129" t="s">
        <v>698</v>
      </c>
      <c r="G14" s="97" t="str">
        <f>IF(VLOOKUP(B14,'비품현황표(전체)'!$A$1:$F$273,6,FALSE)=0,"",VLOOKUP(B14,'비품현황표(전체)'!$A$1:$F$273,6,FALSE))</f>
        <v/>
      </c>
      <c r="H14" s="97">
        <v>5</v>
      </c>
    </row>
    <row r="15" spans="1:8" x14ac:dyDescent="0.15">
      <c r="A15" s="305">
        <v>14</v>
      </c>
      <c r="B15" s="128" t="s">
        <v>62</v>
      </c>
      <c r="C15" s="129" t="s">
        <v>451</v>
      </c>
      <c r="D15" s="129" t="s">
        <v>174</v>
      </c>
      <c r="E15" s="129" t="s">
        <v>556</v>
      </c>
      <c r="F15" s="129" t="s">
        <v>703</v>
      </c>
      <c r="G15" s="97" t="str">
        <f>IF(VLOOKUP(B15,'비품현황표(전체)'!$A$1:$F$273,6,FALSE)=0,"",VLOOKUP(B15,'비품현황표(전체)'!$A$1:$F$273,6,FALSE))</f>
        <v/>
      </c>
      <c r="H15" s="97">
        <v>10</v>
      </c>
    </row>
    <row r="16" spans="1:8" x14ac:dyDescent="0.15">
      <c r="A16" s="305">
        <v>15</v>
      </c>
      <c r="B16" s="128" t="s">
        <v>842</v>
      </c>
      <c r="C16" s="129" t="s">
        <v>867</v>
      </c>
      <c r="D16" s="129" t="s">
        <v>176</v>
      </c>
      <c r="E16" s="129" t="s">
        <v>869</v>
      </c>
      <c r="F16" s="129" t="s">
        <v>714</v>
      </c>
      <c r="G16" s="97" t="str">
        <f>IF(VLOOKUP(B16,'비품현황표(전체)'!$A$1:$F$273,6,FALSE)=0,"",VLOOKUP(B16,'비품현황표(전체)'!$A$1:$F$273,6,FALSE))</f>
        <v/>
      </c>
      <c r="H16" s="97">
        <v>10</v>
      </c>
    </row>
    <row r="17" spans="1:8" x14ac:dyDescent="0.15">
      <c r="A17" s="305">
        <v>16</v>
      </c>
      <c r="B17" s="128" t="s">
        <v>866</v>
      </c>
      <c r="C17" s="129" t="s">
        <v>810</v>
      </c>
      <c r="D17" s="129" t="s">
        <v>868</v>
      </c>
      <c r="E17" s="129" t="s">
        <v>773</v>
      </c>
      <c r="F17" s="129" t="s">
        <v>870</v>
      </c>
      <c r="G17" s="97" t="str">
        <f>IF(VLOOKUP(B17,'비품현황표(전체)'!$A$1:$F$273,6,FALSE)=0,"",VLOOKUP(B17,'비품현황표(전체)'!$A$1:$F$273,6,FALSE))</f>
        <v/>
      </c>
      <c r="H17" s="97">
        <v>10</v>
      </c>
    </row>
    <row r="18" spans="1:8" x14ac:dyDescent="0.15">
      <c r="A18" s="305">
        <v>17</v>
      </c>
      <c r="B18" s="129" t="s">
        <v>808</v>
      </c>
      <c r="C18" s="136" t="s">
        <v>469</v>
      </c>
      <c r="D18" s="132" t="s">
        <v>771</v>
      </c>
      <c r="E18" s="136" t="s">
        <v>565</v>
      </c>
      <c r="F18" s="129" t="s">
        <v>772</v>
      </c>
      <c r="G18" s="97" t="str">
        <f>IF(VLOOKUP(B18,'비품현황표(전체)'!$A$1:$F$273,6,FALSE)=0,"",VLOOKUP(B18,'비품현황표(전체)'!$A$1:$F$273,6,FALSE))</f>
        <v/>
      </c>
      <c r="H18" s="97">
        <v>10</v>
      </c>
    </row>
    <row r="19" spans="1:8" x14ac:dyDescent="0.15">
      <c r="A19" s="305">
        <v>18</v>
      </c>
      <c r="B19" s="128" t="s">
        <v>112</v>
      </c>
      <c r="C19" s="129" t="s">
        <v>539</v>
      </c>
      <c r="D19" s="136" t="s">
        <v>113</v>
      </c>
      <c r="E19" s="129" t="s">
        <v>620</v>
      </c>
      <c r="F19" s="136" t="s">
        <v>736</v>
      </c>
      <c r="G19" s="97" t="str">
        <f>IF(VLOOKUP(B19,'비품현황표(전체)'!$A$1:$F$273,6,FALSE)=0,"",VLOOKUP(B19,'비품현황표(전체)'!$A$1:$F$273,6,FALSE))</f>
        <v/>
      </c>
      <c r="H19" s="97">
        <v>10</v>
      </c>
    </row>
    <row r="20" spans="1:8" x14ac:dyDescent="0.15">
      <c r="A20" s="305">
        <v>19</v>
      </c>
      <c r="B20" s="129" t="s">
        <v>327</v>
      </c>
      <c r="C20" s="129" t="s">
        <v>479</v>
      </c>
      <c r="D20" s="129" t="s">
        <v>325</v>
      </c>
      <c r="E20" s="129" t="s">
        <v>554</v>
      </c>
      <c r="F20" s="129" t="s">
        <v>732</v>
      </c>
      <c r="G20" s="97" t="str">
        <f>IF(VLOOKUP(B20,'비품현황표(전체)'!$A$1:$F$273,6,FALSE)=0,"",VLOOKUP(B20,'비품현황표(전체)'!$A$1:$F$273,6,FALSE))</f>
        <v/>
      </c>
      <c r="H20" s="97">
        <v>10</v>
      </c>
    </row>
    <row r="21" spans="1:8" x14ac:dyDescent="0.15">
      <c r="A21" s="305">
        <v>20</v>
      </c>
      <c r="B21" s="129" t="s">
        <v>844</v>
      </c>
      <c r="C21" s="129" t="s">
        <v>483</v>
      </c>
      <c r="D21" s="129" t="s">
        <v>338</v>
      </c>
      <c r="E21" s="129" t="s">
        <v>562</v>
      </c>
      <c r="F21" s="129" t="s">
        <v>759</v>
      </c>
      <c r="G21" s="97" t="str">
        <f>IF(VLOOKUP(B21,'비품현황표(전체)'!$A$1:$F$273,6,FALSE)=0,"",VLOOKUP(B21,'비품현황표(전체)'!$A$1:$F$273,6,FALSE))</f>
        <v/>
      </c>
      <c r="H21" s="97">
        <v>5</v>
      </c>
    </row>
    <row r="22" spans="1:8" x14ac:dyDescent="0.15">
      <c r="A22" s="305">
        <v>21</v>
      </c>
      <c r="B22" s="149" t="s">
        <v>61</v>
      </c>
      <c r="C22" s="137"/>
      <c r="D22" s="137" t="s">
        <v>217</v>
      </c>
      <c r="E22" s="137"/>
      <c r="F22" s="137" t="s">
        <v>744</v>
      </c>
      <c r="G22" s="139" t="str">
        <f>IF(VLOOKUP(B22,'비품현황표(전체)'!$A$1:$F$273,6,FALSE)=0,"",VLOOKUP(B22,'비품현황표(전체)'!$A$1:$F$273,6,FALSE))</f>
        <v/>
      </c>
      <c r="H22" s="139">
        <v>10</v>
      </c>
    </row>
    <row r="23" spans="1:8" x14ac:dyDescent="0.15">
      <c r="A23" s="81"/>
      <c r="B23" s="81"/>
      <c r="C23" s="81"/>
      <c r="D23" s="93" t="s">
        <v>804</v>
      </c>
      <c r="E23" s="81"/>
      <c r="F23" s="106"/>
      <c r="G23" s="81"/>
      <c r="H23" s="110">
        <v>21</v>
      </c>
    </row>
  </sheetData>
  <phoneticPr fontId="1" type="noConversion"/>
  <conditionalFormatting sqref="G3:G22">
    <cfRule type="containsText" dxfId="123" priority="6" operator="containsText" text="유사">
      <formula>NOT(ISERROR(SEARCH("유사",G3)))</formula>
    </cfRule>
    <cfRule type="containsText" priority="7" operator="containsText" text="유사 용량">
      <formula>NOT(ISERROR(SEARCH("유사 용량",G3)))</formula>
    </cfRule>
    <cfRule type="containsText" dxfId="122" priority="8" operator="containsText" text="혼돈주의약품, 유사모양, 유사발음">
      <formula>NOT(ISERROR(SEARCH("혼돈주의약품, 유사모양, 유사발음",G3)))</formula>
    </cfRule>
  </conditionalFormatting>
  <conditionalFormatting sqref="B12">
    <cfRule type="duplicateValues" dxfId="121" priority="5"/>
  </conditionalFormatting>
  <conditionalFormatting sqref="B4">
    <cfRule type="duplicateValues" dxfId="120" priority="4"/>
  </conditionalFormatting>
  <conditionalFormatting sqref="B8">
    <cfRule type="duplicateValues" dxfId="119" priority="3"/>
  </conditionalFormatting>
  <conditionalFormatting sqref="B5">
    <cfRule type="duplicateValues" dxfId="118" priority="2"/>
  </conditionalFormatting>
  <conditionalFormatting sqref="B2">
    <cfRule type="duplicateValues" dxfId="117" priority="1"/>
  </conditionalFormatting>
  <pageMargins left="0.7" right="0.7" top="0.75" bottom="0.75" header="0.3" footer="0.3"/>
  <pageSetup paperSize="9" orientation="portrait" r:id="rId1"/>
  <headerFooter>
    <oddHeader>&amp;C&amp;"돋움,굵게"수술실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WhiteSpace="0" view="pageLayout" zoomScaleNormal="100" workbookViewId="0">
      <selection activeCell="D22" sqref="D22"/>
    </sheetView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21875" customWidth="1"/>
    <col min="7" max="7" width="7.5546875" customWidth="1"/>
    <col min="8" max="8" width="7" customWidth="1"/>
  </cols>
  <sheetData>
    <row r="1" spans="1:8" ht="13.5" customHeight="1" x14ac:dyDescent="0.15">
      <c r="A1" s="105" t="s">
        <v>367</v>
      </c>
      <c r="B1" s="105" t="s">
        <v>48</v>
      </c>
      <c r="C1" s="105" t="s">
        <v>49</v>
      </c>
      <c r="D1" s="105" t="s">
        <v>267</v>
      </c>
      <c r="E1" s="105" t="s">
        <v>50</v>
      </c>
      <c r="F1" s="105" t="s">
        <v>762</v>
      </c>
      <c r="G1" s="152" t="s">
        <v>359</v>
      </c>
      <c r="H1" s="105" t="s">
        <v>1306</v>
      </c>
    </row>
    <row r="2" spans="1:8" x14ac:dyDescent="0.15">
      <c r="A2" s="118">
        <v>1</v>
      </c>
      <c r="B2" s="115" t="s">
        <v>1224</v>
      </c>
      <c r="C2" s="115" t="s">
        <v>382</v>
      </c>
      <c r="D2" s="115" t="s">
        <v>156</v>
      </c>
      <c r="E2" s="115" t="s">
        <v>556</v>
      </c>
      <c r="F2" s="115" t="s">
        <v>643</v>
      </c>
      <c r="G2" s="117" t="str">
        <f>IF(VLOOKUP(B2,'비품현황표(전체)'!$A$1:$F$273,6,FALSE)=0,"",VLOOKUP(B2,'비품현황표(전체)'!$A$1:$F$273,6,FALSE))</f>
        <v>유사발음</v>
      </c>
      <c r="H2" s="116">
        <v>6</v>
      </c>
    </row>
    <row r="3" spans="1:8" x14ac:dyDescent="0.15">
      <c r="A3" s="118">
        <v>2</v>
      </c>
      <c r="B3" s="128" t="s">
        <v>25</v>
      </c>
      <c r="C3" s="129" t="s">
        <v>386</v>
      </c>
      <c r="D3" s="129" t="s">
        <v>158</v>
      </c>
      <c r="E3" s="129" t="s">
        <v>561</v>
      </c>
      <c r="F3" s="129" t="s">
        <v>653</v>
      </c>
      <c r="G3" s="97" t="str">
        <f>IF(VLOOKUP(B3,'비품현황표(전체)'!$A$1:$F$273,6,FALSE)=0,"",VLOOKUP(B3,'비품현황표(전체)'!$A$1:$F$273,6,FALSE))</f>
        <v/>
      </c>
      <c r="H3" s="97">
        <v>2</v>
      </c>
    </row>
    <row r="4" spans="1:8" x14ac:dyDescent="0.15">
      <c r="A4" s="118">
        <v>3</v>
      </c>
      <c r="B4" s="128" t="s">
        <v>847</v>
      </c>
      <c r="C4" s="129" t="s">
        <v>848</v>
      </c>
      <c r="D4" s="129" t="s">
        <v>849</v>
      </c>
      <c r="E4" s="129" t="s">
        <v>850</v>
      </c>
      <c r="F4" s="129" t="s">
        <v>851</v>
      </c>
      <c r="G4" s="97" t="str">
        <f>IF(VLOOKUP(B4,'비품현황표(전체)'!$A$1:$F$273,6,FALSE)=0,"",VLOOKUP(B4,'비품현황표(전체)'!$A$1:$F$273,6,FALSE))</f>
        <v/>
      </c>
      <c r="H4" s="97">
        <v>4</v>
      </c>
    </row>
    <row r="5" spans="1:8" x14ac:dyDescent="0.15">
      <c r="A5" s="118">
        <v>4</v>
      </c>
      <c r="B5" s="128" t="s">
        <v>228</v>
      </c>
      <c r="C5" s="129" t="s">
        <v>501</v>
      </c>
      <c r="D5" s="129" t="s">
        <v>229</v>
      </c>
      <c r="E5" s="129" t="s">
        <v>557</v>
      </c>
      <c r="F5" s="129" t="s">
        <v>667</v>
      </c>
      <c r="G5" s="97" t="str">
        <f>IF(VLOOKUP(B5,'비품현황표(전체)'!$A$1:$F$273,6,FALSE)=0,"",VLOOKUP(B5,'비품현황표(전체)'!$A$1:$F$273,6,FALSE))</f>
        <v/>
      </c>
      <c r="H5" s="97">
        <v>20</v>
      </c>
    </row>
    <row r="6" spans="1:8" x14ac:dyDescent="0.15">
      <c r="A6" s="118">
        <v>5</v>
      </c>
      <c r="B6" s="129" t="s">
        <v>767</v>
      </c>
      <c r="C6" s="129" t="s">
        <v>400</v>
      </c>
      <c r="D6" s="129" t="s">
        <v>768</v>
      </c>
      <c r="E6" s="129" t="s">
        <v>769</v>
      </c>
      <c r="F6" s="129" t="s">
        <v>770</v>
      </c>
      <c r="G6" s="97" t="str">
        <f>IF(VLOOKUP(B6,'비품현황표(전체)'!$A$1:$F$273,6,FALSE)=0,"",VLOOKUP(B6,'비품현황표(전체)'!$A$1:$F$273,6,FALSE))</f>
        <v/>
      </c>
      <c r="H6" s="97">
        <v>5</v>
      </c>
    </row>
    <row r="7" spans="1:8" x14ac:dyDescent="0.15">
      <c r="A7" s="118">
        <v>6</v>
      </c>
      <c r="B7" s="99" t="s">
        <v>21</v>
      </c>
      <c r="C7" s="100" t="s">
        <v>402</v>
      </c>
      <c r="D7" s="100" t="s">
        <v>162</v>
      </c>
      <c r="E7" s="100" t="s">
        <v>556</v>
      </c>
      <c r="F7" s="100" t="s">
        <v>676</v>
      </c>
      <c r="G7" s="97" t="str">
        <f>IF(VLOOKUP(B7,'비품현황표(전체)'!$A$1:$F$273,6,FALSE)=0,"",VLOOKUP(B7,'비품현황표(전체)'!$A$1:$F$273,6,FALSE))</f>
        <v>유사발음</v>
      </c>
      <c r="H7" s="101">
        <v>2</v>
      </c>
    </row>
    <row r="8" spans="1:8" x14ac:dyDescent="0.15">
      <c r="A8" s="118">
        <v>7</v>
      </c>
      <c r="B8" s="128" t="s">
        <v>30</v>
      </c>
      <c r="C8" s="129" t="s">
        <v>408</v>
      </c>
      <c r="D8" s="129" t="s">
        <v>163</v>
      </c>
      <c r="E8" s="129" t="s">
        <v>556</v>
      </c>
      <c r="F8" s="2" t="s">
        <v>871</v>
      </c>
      <c r="G8" s="97" t="str">
        <f>IF(VLOOKUP(B8,'비품현황표(전체)'!$A$1:$F$273,6,FALSE)=0,"",VLOOKUP(B8,'비품현황표(전체)'!$A$1:$F$273,6,FALSE))</f>
        <v/>
      </c>
      <c r="H8" s="97">
        <v>2</v>
      </c>
    </row>
    <row r="9" spans="1:8" x14ac:dyDescent="0.15">
      <c r="A9" s="118">
        <v>8</v>
      </c>
      <c r="B9" s="129" t="s">
        <v>53</v>
      </c>
      <c r="C9" s="129" t="s">
        <v>420</v>
      </c>
      <c r="D9" s="129" t="s">
        <v>130</v>
      </c>
      <c r="E9" s="129" t="s">
        <v>556</v>
      </c>
      <c r="F9" s="129" t="s">
        <v>647</v>
      </c>
      <c r="G9" s="97" t="str">
        <f>IF(VLOOKUP(B9,'비품현황표(전체)'!$A$1:$F$273,6,FALSE)=0,"",VLOOKUP(B9,'비품현황표(전체)'!$A$1:$F$273,6,FALSE))</f>
        <v/>
      </c>
      <c r="H9" s="97">
        <v>3</v>
      </c>
    </row>
    <row r="10" spans="1:8" x14ac:dyDescent="0.15">
      <c r="A10" s="118">
        <v>9</v>
      </c>
      <c r="B10" s="129" t="s">
        <v>87</v>
      </c>
      <c r="C10" s="129" t="s">
        <v>421</v>
      </c>
      <c r="D10" s="129" t="s">
        <v>168</v>
      </c>
      <c r="E10" s="129" t="s">
        <v>556</v>
      </c>
      <c r="F10" s="129" t="s">
        <v>691</v>
      </c>
      <c r="G10" s="97" t="str">
        <f>IF(VLOOKUP(B10,'비품현황표(전체)'!$A$1:$F$273,6,FALSE)=0,"",VLOOKUP(B10,'비품현황표(전체)'!$A$1:$F$273,6,FALSE))</f>
        <v/>
      </c>
      <c r="H10" s="97">
        <v>6</v>
      </c>
    </row>
    <row r="11" spans="1:8" x14ac:dyDescent="0.15">
      <c r="A11" s="118">
        <v>10</v>
      </c>
      <c r="B11" s="99" t="s">
        <v>63</v>
      </c>
      <c r="C11" s="100" t="s">
        <v>422</v>
      </c>
      <c r="D11" s="100" t="s">
        <v>169</v>
      </c>
      <c r="E11" s="100" t="s">
        <v>556</v>
      </c>
      <c r="F11" s="100" t="s">
        <v>692</v>
      </c>
      <c r="G11" s="97" t="str">
        <f>IF(VLOOKUP(B11,'비품현황표(전체)'!$A$1:$F$273,6,FALSE)=0,"",VLOOKUP(B11,'비품현황표(전체)'!$A$1:$F$273,6,FALSE))</f>
        <v>유사모양</v>
      </c>
      <c r="H11" s="101">
        <v>2</v>
      </c>
    </row>
    <row r="12" spans="1:8" x14ac:dyDescent="0.15">
      <c r="A12" s="118">
        <v>11</v>
      </c>
      <c r="B12" s="128" t="s">
        <v>57</v>
      </c>
      <c r="C12" s="129" t="s">
        <v>423</v>
      </c>
      <c r="D12" s="129" t="s">
        <v>170</v>
      </c>
      <c r="E12" s="129" t="s">
        <v>561</v>
      </c>
      <c r="F12" s="129" t="s">
        <v>754</v>
      </c>
      <c r="G12" s="97" t="str">
        <f>IF(VLOOKUP(B12,'비품현황표(전체)'!$A$1:$F$273,6,FALSE)=0,"",VLOOKUP(B12,'비품현황표(전체)'!$A$1:$F$273,6,FALSE))</f>
        <v/>
      </c>
      <c r="H12" s="97">
        <v>12</v>
      </c>
    </row>
    <row r="13" spans="1:8" x14ac:dyDescent="0.15">
      <c r="A13" s="118">
        <v>12</v>
      </c>
      <c r="B13" s="128" t="s">
        <v>29</v>
      </c>
      <c r="C13" s="129" t="s">
        <v>427</v>
      </c>
      <c r="D13" s="129" t="s">
        <v>171</v>
      </c>
      <c r="E13" s="129" t="s">
        <v>556</v>
      </c>
      <c r="F13" s="129" t="s">
        <v>696</v>
      </c>
      <c r="G13" s="97" t="str">
        <f>IF(VLOOKUP(B13,'비품현황표(전체)'!$A$1:$F$273,6,FALSE)=0,"",VLOOKUP(B13,'비품현황표(전체)'!$A$1:$F$273,6,FALSE))</f>
        <v/>
      </c>
      <c r="H13" s="97">
        <v>1</v>
      </c>
    </row>
    <row r="14" spans="1:8" x14ac:dyDescent="0.15">
      <c r="A14" s="118">
        <v>13</v>
      </c>
      <c r="B14" s="128" t="s">
        <v>52</v>
      </c>
      <c r="C14" s="129" t="s">
        <v>428</v>
      </c>
      <c r="D14" s="129" t="s">
        <v>197</v>
      </c>
      <c r="E14" s="129" t="s">
        <v>556</v>
      </c>
      <c r="F14" s="129" t="s">
        <v>633</v>
      </c>
      <c r="G14" s="97" t="str">
        <f>IF(VLOOKUP(B14,'비품현황표(전체)'!$A$1:$F$273,6,FALSE)=0,"",VLOOKUP(B14,'비품현황표(전체)'!$A$1:$F$273,6,FALSE))</f>
        <v/>
      </c>
      <c r="H14" s="97">
        <v>3</v>
      </c>
    </row>
    <row r="15" spans="1:8" x14ac:dyDescent="0.15">
      <c r="A15" s="118">
        <v>14</v>
      </c>
      <c r="B15" s="128" t="s">
        <v>7</v>
      </c>
      <c r="C15" s="129" t="s">
        <v>436</v>
      </c>
      <c r="D15" s="129" t="s">
        <v>152</v>
      </c>
      <c r="E15" s="129" t="s">
        <v>601</v>
      </c>
      <c r="F15" s="129" t="s">
        <v>756</v>
      </c>
      <c r="G15" s="97" t="str">
        <f>IF(VLOOKUP(B15,'비품현황표(전체)'!$A$1:$F$273,6,FALSE)=0,"",VLOOKUP(B15,'비품현황표(전체)'!$A$1:$F$273,6,FALSE))</f>
        <v/>
      </c>
      <c r="H15" s="97">
        <v>1</v>
      </c>
    </row>
    <row r="16" spans="1:8" x14ac:dyDescent="0.15">
      <c r="A16" s="118">
        <v>15</v>
      </c>
      <c r="B16" s="128" t="s">
        <v>1225</v>
      </c>
      <c r="C16" s="129" t="s">
        <v>440</v>
      </c>
      <c r="D16" s="129" t="s">
        <v>968</v>
      </c>
      <c r="E16" s="129" t="s">
        <v>603</v>
      </c>
      <c r="F16" s="160" t="s">
        <v>969</v>
      </c>
      <c r="G16" s="97" t="str">
        <f>IF(VLOOKUP(B16,'비품현황표(전체)'!$A$1:$F$273,6,FALSE)=0,"",VLOOKUP(B16,'비품현황표(전체)'!$A$1:$F$273,6,FALSE))</f>
        <v/>
      </c>
      <c r="H16" s="97">
        <v>2</v>
      </c>
    </row>
    <row r="17" spans="1:8" x14ac:dyDescent="0.15">
      <c r="A17" s="118">
        <v>16</v>
      </c>
      <c r="B17" s="99" t="s">
        <v>65</v>
      </c>
      <c r="C17" s="100" t="s">
        <v>441</v>
      </c>
      <c r="D17" s="100" t="s">
        <v>173</v>
      </c>
      <c r="E17" s="100" t="s">
        <v>561</v>
      </c>
      <c r="F17" s="100" t="s">
        <v>702</v>
      </c>
      <c r="G17" s="101" t="str">
        <f>IF(VLOOKUP(B17,'비품현황표(전체)'!$A$1:$F$273,6,FALSE)=0,"",VLOOKUP(B17,'비품현황표(전체)'!$A$1:$F$273,6,FALSE))</f>
        <v>용량고주의</v>
      </c>
      <c r="H17" s="101">
        <v>2</v>
      </c>
    </row>
    <row r="18" spans="1:8" x14ac:dyDescent="0.15">
      <c r="A18" s="118">
        <v>17</v>
      </c>
      <c r="B18" s="95" t="s">
        <v>62</v>
      </c>
      <c r="C18" s="96" t="s">
        <v>442</v>
      </c>
      <c r="D18" s="96" t="s">
        <v>174</v>
      </c>
      <c r="E18" s="96" t="s">
        <v>559</v>
      </c>
      <c r="F18" s="96" t="s">
        <v>703</v>
      </c>
      <c r="G18" s="97" t="str">
        <f>IF(VLOOKUP(B18,'비품현황표(전체)'!$A$1:$F$273,6,FALSE)=0,"",VLOOKUP(B18,'비품현황표(전체)'!$A$1:$F$273,6,FALSE))</f>
        <v/>
      </c>
      <c r="H18" s="98">
        <v>3</v>
      </c>
    </row>
    <row r="19" spans="1:8" x14ac:dyDescent="0.15">
      <c r="A19" s="118">
        <v>18</v>
      </c>
      <c r="B19" s="95" t="s">
        <v>10</v>
      </c>
      <c r="C19" s="96" t="s">
        <v>449</v>
      </c>
      <c r="D19" s="96" t="s">
        <v>213</v>
      </c>
      <c r="E19" s="96" t="s">
        <v>556</v>
      </c>
      <c r="F19" s="96" t="s">
        <v>711</v>
      </c>
      <c r="G19" s="97" t="str">
        <f>IF(VLOOKUP(B19,'비품현황표(전체)'!$A$1:$F$273,6,FALSE)=0,"",VLOOKUP(B19,'비품현황표(전체)'!$A$1:$F$273,6,FALSE))</f>
        <v/>
      </c>
      <c r="H19" s="98">
        <v>10</v>
      </c>
    </row>
    <row r="20" spans="1:8" x14ac:dyDescent="0.15">
      <c r="A20" s="118">
        <v>19</v>
      </c>
      <c r="B20" s="95" t="s">
        <v>16</v>
      </c>
      <c r="C20" s="96" t="s">
        <v>470</v>
      </c>
      <c r="D20" s="96" t="s">
        <v>214</v>
      </c>
      <c r="E20" s="96" t="s">
        <v>563</v>
      </c>
      <c r="F20" s="96" t="s">
        <v>737</v>
      </c>
      <c r="G20" s="97" t="str">
        <f>IF(VLOOKUP(B20,'비품현황표(전체)'!$A$1:$F$273,6,FALSE)=0,"",VLOOKUP(B20,'비품현황표(전체)'!$A$1:$F$273,6,FALSE))</f>
        <v/>
      </c>
      <c r="H20" s="98">
        <v>4</v>
      </c>
    </row>
    <row r="21" spans="1:8" x14ac:dyDescent="0.15">
      <c r="A21" s="118">
        <v>20</v>
      </c>
      <c r="B21" s="95" t="s">
        <v>15</v>
      </c>
      <c r="C21" s="96" t="s">
        <v>471</v>
      </c>
      <c r="D21" s="96" t="s">
        <v>215</v>
      </c>
      <c r="E21" s="96" t="s">
        <v>573</v>
      </c>
      <c r="F21" s="96" t="s">
        <v>737</v>
      </c>
      <c r="G21" s="97" t="str">
        <f>IF(VLOOKUP(B21,'비품현황표(전체)'!$A$1:$F$273,6,FALSE)=0,"",VLOOKUP(B21,'비품현황표(전체)'!$A$1:$F$273,6,FALSE))</f>
        <v/>
      </c>
      <c r="H21" s="98">
        <v>2</v>
      </c>
    </row>
    <row r="22" spans="1:8" x14ac:dyDescent="0.15">
      <c r="A22" s="118">
        <v>21</v>
      </c>
      <c r="B22" s="95" t="s">
        <v>1317</v>
      </c>
      <c r="C22" s="96" t="s">
        <v>473</v>
      </c>
      <c r="D22" s="96" t="s">
        <v>1318</v>
      </c>
      <c r="E22" s="96" t="s">
        <v>554</v>
      </c>
      <c r="F22" s="96" t="s">
        <v>651</v>
      </c>
      <c r="G22" s="97" t="str">
        <f>IF(VLOOKUP(B22,'비품현황표(전체)'!$A$1:$F$273,6,FALSE)=0,"",VLOOKUP(B22,'비품현황표(전체)'!$A$1:$F$273,6,FALSE))</f>
        <v/>
      </c>
      <c r="H22" s="98">
        <v>3</v>
      </c>
    </row>
    <row r="23" spans="1:8" x14ac:dyDescent="0.15">
      <c r="A23" s="118">
        <v>22</v>
      </c>
      <c r="B23" s="107" t="s">
        <v>90</v>
      </c>
      <c r="C23" s="92" t="s">
        <v>486</v>
      </c>
      <c r="D23" s="92" t="s">
        <v>223</v>
      </c>
      <c r="E23" s="92" t="s">
        <v>622</v>
      </c>
      <c r="F23" s="92" t="s">
        <v>746</v>
      </c>
      <c r="G23" s="139" t="str">
        <f>IF(VLOOKUP(B23,'비품현황표(전체)'!$A$1:$F$273,6,FALSE)=0,"",VLOOKUP(B23,'비품현황표(전체)'!$A$1:$F$273,6,FALSE))</f>
        <v/>
      </c>
      <c r="H23" s="109">
        <v>2</v>
      </c>
    </row>
    <row r="24" spans="1:8" x14ac:dyDescent="0.15">
      <c r="A24" s="93"/>
      <c r="B24" s="106"/>
      <c r="C24" s="106"/>
      <c r="D24" s="93" t="s">
        <v>371</v>
      </c>
      <c r="E24" s="106"/>
      <c r="F24" s="106"/>
      <c r="G24" s="106"/>
      <c r="H24" s="110">
        <v>22</v>
      </c>
    </row>
  </sheetData>
  <phoneticPr fontId="1" type="noConversion"/>
  <conditionalFormatting sqref="G2:G23">
    <cfRule type="containsText" dxfId="116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15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&amp;C&amp;"돋움,굵게"분만장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view="pageLayout" zoomScaleNormal="100" workbookViewId="0">
      <selection activeCell="H2" sqref="H2"/>
    </sheetView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" customWidth="1"/>
    <col min="7" max="7" width="7.5546875" customWidth="1"/>
    <col min="8" max="8" width="7.88671875" customWidth="1"/>
  </cols>
  <sheetData>
    <row r="1" spans="1:8" x14ac:dyDescent="0.15">
      <c r="A1" s="310" t="s">
        <v>367</v>
      </c>
      <c r="B1" s="311" t="s">
        <v>48</v>
      </c>
      <c r="C1" s="311" t="s">
        <v>49</v>
      </c>
      <c r="D1" s="311" t="s">
        <v>267</v>
      </c>
      <c r="E1" s="311" t="s">
        <v>50</v>
      </c>
      <c r="F1" s="311" t="s">
        <v>763</v>
      </c>
      <c r="G1" s="312" t="s">
        <v>359</v>
      </c>
      <c r="H1" s="313" t="s">
        <v>1327</v>
      </c>
    </row>
    <row r="2" spans="1:8" x14ac:dyDescent="0.15">
      <c r="A2" s="314">
        <v>1</v>
      </c>
      <c r="B2" s="13" t="s">
        <v>117</v>
      </c>
      <c r="C2" s="11" t="s">
        <v>391</v>
      </c>
      <c r="D2" s="11" t="s">
        <v>144</v>
      </c>
      <c r="E2" s="11" t="s">
        <v>562</v>
      </c>
      <c r="F2" s="11" t="str">
        <f>VLOOKUP(B2,'비품현황표(전체)'!$A1:$AT274,5,FALSE)</f>
        <v>밀봉용기, 5 ±3℃ 냉암소보관</v>
      </c>
      <c r="G2" s="38" t="str">
        <f>IF(VLOOKUP(B2,'비품현황표(전체)'!$A$1:$F$273,6,FALSE)=0,"",VLOOKUP(B2,'비품현황표(전체)'!$A$1:$F$273,6,FALSE))</f>
        <v/>
      </c>
      <c r="H2" s="315">
        <v>3</v>
      </c>
    </row>
    <row r="3" spans="1:8" x14ac:dyDescent="0.15">
      <c r="A3" s="314">
        <v>2</v>
      </c>
      <c r="B3" s="5" t="s">
        <v>1256</v>
      </c>
      <c r="C3" s="7"/>
      <c r="D3" s="7" t="s">
        <v>1257</v>
      </c>
      <c r="E3" s="7"/>
      <c r="F3" s="7" t="s">
        <v>1255</v>
      </c>
      <c r="G3" s="38"/>
      <c r="H3" s="315">
        <v>2</v>
      </c>
    </row>
    <row r="4" spans="1:8" x14ac:dyDescent="0.15">
      <c r="A4" s="314">
        <v>3</v>
      </c>
      <c r="B4" s="5" t="s">
        <v>47</v>
      </c>
      <c r="C4" s="2" t="s">
        <v>484</v>
      </c>
      <c r="D4" s="2" t="s">
        <v>181</v>
      </c>
      <c r="E4" s="2" t="s">
        <v>556</v>
      </c>
      <c r="F4" s="2" t="s">
        <v>702</v>
      </c>
      <c r="G4" s="38"/>
      <c r="H4" s="315">
        <v>2</v>
      </c>
    </row>
    <row r="5" spans="1:8" ht="14.25" thickBot="1" x14ac:dyDescent="0.2">
      <c r="A5" s="316"/>
      <c r="B5" s="317"/>
      <c r="C5" s="317"/>
      <c r="D5" s="318" t="s">
        <v>371</v>
      </c>
      <c r="E5" s="317"/>
      <c r="F5" s="317"/>
      <c r="G5" s="317"/>
      <c r="H5" s="319">
        <v>3</v>
      </c>
    </row>
  </sheetData>
  <phoneticPr fontId="1" type="noConversion"/>
  <conditionalFormatting sqref="G2:G4">
    <cfRule type="containsText" dxfId="114" priority="7" operator="containsText" text="유사">
      <formula>NOT(ISERROR(SEARCH("유사",G2)))</formula>
    </cfRule>
    <cfRule type="containsText" priority="8" operator="containsText" text="유사 용량">
      <formula>NOT(ISERROR(SEARCH("유사 용량",G2)))</formula>
    </cfRule>
    <cfRule type="containsText" dxfId="113" priority="9" operator="containsText" text="혼돈주의약품, 유사모양, 유사발음">
      <formula>NOT(ISERROR(SEARCH("혼돈주의약품, 유사모양, 유사발음",G2)))</formula>
    </cfRule>
  </conditionalFormatting>
  <conditionalFormatting sqref="B4">
    <cfRule type="duplicateValues" dxfId="112" priority="2"/>
  </conditionalFormatting>
  <conditionalFormatting sqref="B3">
    <cfRule type="duplicateValues" dxfId="111" priority="1"/>
  </conditionalFormatting>
  <pageMargins left="0.7" right="0.7" top="0.75" bottom="0.75" header="0.3" footer="0.3"/>
  <pageSetup paperSize="9" orientation="portrait" r:id="rId1"/>
  <headerFooter>
    <oddHeader>&amp;C&amp;"돋움,굵게"NICU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view="pageLayout" zoomScaleNormal="100" workbookViewId="0">
      <selection activeCell="D19" sqref="D19"/>
    </sheetView>
  </sheetViews>
  <sheetFormatPr defaultRowHeight="13.5" x14ac:dyDescent="0.15"/>
  <cols>
    <col min="1" max="1" width="3" customWidth="1"/>
    <col min="2" max="2" width="6.33203125" customWidth="1"/>
    <col min="3" max="3" width="9.33203125" hidden="1" customWidth="1"/>
    <col min="4" max="4" width="21.44140625" customWidth="1"/>
    <col min="5" max="5" width="2.21875" hidden="1" customWidth="1"/>
    <col min="6" max="6" width="30.5546875" customWidth="1"/>
    <col min="7" max="7" width="6.5546875" customWidth="1"/>
    <col min="8" max="8" width="7.109375" customWidth="1"/>
  </cols>
  <sheetData>
    <row r="1" spans="1:8" ht="13.5" customHeight="1" x14ac:dyDescent="0.15">
      <c r="A1" s="9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103" t="s">
        <v>359</v>
      </c>
      <c r="H1" s="104" t="s">
        <v>1366</v>
      </c>
    </row>
    <row r="2" spans="1:8" ht="13.5" customHeight="1" x14ac:dyDescent="0.15">
      <c r="A2" s="144">
        <v>1</v>
      </c>
      <c r="B2" s="118" t="s">
        <v>35</v>
      </c>
      <c r="C2" s="118" t="s">
        <v>378</v>
      </c>
      <c r="D2" s="118" t="s">
        <v>149</v>
      </c>
      <c r="E2" s="118" t="s">
        <v>568</v>
      </c>
      <c r="F2" s="118" t="s">
        <v>646</v>
      </c>
      <c r="G2" s="103"/>
      <c r="H2" s="104">
        <v>3</v>
      </c>
    </row>
    <row r="3" spans="1:8" x14ac:dyDescent="0.15">
      <c r="A3" s="144">
        <v>2</v>
      </c>
      <c r="B3" s="248" t="s">
        <v>791</v>
      </c>
      <c r="C3" s="243" t="s">
        <v>792</v>
      </c>
      <c r="D3" s="243" t="s">
        <v>793</v>
      </c>
      <c r="E3" s="248" t="s">
        <v>794</v>
      </c>
      <c r="F3" s="248" t="s">
        <v>795</v>
      </c>
      <c r="G3" s="117" t="str">
        <f>IF(VLOOKUP(B3,'비품현황표(전체)'!$A$1:$F$273,6,FALSE)=0,"",VLOOKUP(B3,'비품현황표(전체)'!$A$1:$F$273,6,FALSE))</f>
        <v/>
      </c>
      <c r="H3" s="113">
        <v>5</v>
      </c>
    </row>
    <row r="4" spans="1:8" x14ac:dyDescent="0.15">
      <c r="A4" s="144">
        <v>3</v>
      </c>
      <c r="B4" s="128" t="s">
        <v>68</v>
      </c>
      <c r="C4" s="129" t="s">
        <v>374</v>
      </c>
      <c r="D4" s="129" t="s">
        <v>182</v>
      </c>
      <c r="E4" s="129" t="s">
        <v>563</v>
      </c>
      <c r="F4" s="129" t="s">
        <v>638</v>
      </c>
      <c r="G4" s="97" t="str">
        <f>IF(VLOOKUP(B4,'비품현황표(전체)'!$A$1:$F$273,6,FALSE)=0,"",VLOOKUP(B4,'비품현황표(전체)'!$A$1:$F$273,6,FALSE))</f>
        <v/>
      </c>
      <c r="H4" s="97">
        <v>3</v>
      </c>
    </row>
    <row r="5" spans="1:8" x14ac:dyDescent="0.15">
      <c r="A5" s="144">
        <v>4</v>
      </c>
      <c r="B5" s="128" t="s">
        <v>85</v>
      </c>
      <c r="C5" s="129" t="s">
        <v>374</v>
      </c>
      <c r="D5" s="129" t="s">
        <v>183</v>
      </c>
      <c r="E5" s="129" t="s">
        <v>563</v>
      </c>
      <c r="F5" s="129" t="s">
        <v>638</v>
      </c>
      <c r="G5" s="97" t="str">
        <f>IF(VLOOKUP(B5,'비품현황표(전체)'!$A$1:$F$273,6,FALSE)=0,"",VLOOKUP(B5,'비품현황표(전체)'!$A$1:$F$273,6,FALSE))</f>
        <v/>
      </c>
      <c r="H5" s="97">
        <v>1</v>
      </c>
    </row>
    <row r="6" spans="1:8" x14ac:dyDescent="0.15">
      <c r="A6" s="144">
        <v>5</v>
      </c>
      <c r="B6" s="99" t="s">
        <v>6</v>
      </c>
      <c r="C6" s="100" t="s">
        <v>380</v>
      </c>
      <c r="D6" s="100" t="s">
        <v>128</v>
      </c>
      <c r="E6" s="100" t="s">
        <v>569</v>
      </c>
      <c r="F6" s="100" t="s">
        <v>648</v>
      </c>
      <c r="G6" s="97" t="str">
        <f>IF(VLOOKUP(B6,'비품현황표(전체)'!$A$1:$F$273,6,FALSE)=0,"",VLOOKUP(B6,'비품현황표(전체)'!$A$1:$F$273,6,FALSE))</f>
        <v>유사모양</v>
      </c>
      <c r="H6" s="101">
        <v>5</v>
      </c>
    </row>
    <row r="7" spans="1:8" x14ac:dyDescent="0.15">
      <c r="A7" s="144">
        <v>6</v>
      </c>
      <c r="B7" s="128" t="s">
        <v>936</v>
      </c>
      <c r="C7" s="129"/>
      <c r="D7" s="129" t="s">
        <v>937</v>
      </c>
      <c r="E7" s="129"/>
      <c r="F7" s="133" t="s">
        <v>938</v>
      </c>
      <c r="G7" s="97" t="str">
        <f>IF(VLOOKUP(B7,'비품현황표(전체)'!$A$1:$F$273,6,FALSE)=0,"",VLOOKUP(B7,'비품현황표(전체)'!$A$1:$F$273,6,FALSE))</f>
        <v/>
      </c>
      <c r="H7" s="97">
        <v>3</v>
      </c>
    </row>
    <row r="8" spans="1:8" x14ac:dyDescent="0.15">
      <c r="A8" s="144">
        <v>7</v>
      </c>
      <c r="B8" s="128" t="s">
        <v>8</v>
      </c>
      <c r="C8" s="129" t="s">
        <v>493</v>
      </c>
      <c r="D8" s="129" t="s">
        <v>266</v>
      </c>
      <c r="E8" s="129" t="s">
        <v>572</v>
      </c>
      <c r="F8" s="129" t="s">
        <v>652</v>
      </c>
      <c r="G8" s="97" t="str">
        <f>IF(VLOOKUP(B8,'비품현황표(전체)'!$A$1:$F$273,6,FALSE)=0,"",VLOOKUP(B8,'비품현황표(전체)'!$A$1:$F$273,6,FALSE))</f>
        <v/>
      </c>
      <c r="H8" s="97">
        <v>2</v>
      </c>
    </row>
    <row r="9" spans="1:8" x14ac:dyDescent="0.15">
      <c r="A9" s="144">
        <v>8</v>
      </c>
      <c r="B9" s="24" t="s">
        <v>1088</v>
      </c>
      <c r="C9" s="2" t="s">
        <v>1090</v>
      </c>
      <c r="D9" s="2" t="s">
        <v>1089</v>
      </c>
      <c r="E9" s="2" t="s">
        <v>1091</v>
      </c>
      <c r="F9" s="129" t="s">
        <v>1092</v>
      </c>
      <c r="G9" s="97"/>
      <c r="H9" s="97">
        <v>2</v>
      </c>
    </row>
    <row r="10" spans="1:8" x14ac:dyDescent="0.15">
      <c r="A10" s="144">
        <v>9</v>
      </c>
      <c r="B10" s="24" t="s">
        <v>1096</v>
      </c>
      <c r="C10" s="2" t="s">
        <v>1098</v>
      </c>
      <c r="D10" s="2" t="s">
        <v>1097</v>
      </c>
      <c r="E10" s="2" t="s">
        <v>1099</v>
      </c>
      <c r="F10" s="129" t="s">
        <v>1070</v>
      </c>
      <c r="G10" s="43"/>
      <c r="H10" s="97">
        <v>5</v>
      </c>
    </row>
    <row r="11" spans="1:8" x14ac:dyDescent="0.15">
      <c r="A11" s="144">
        <v>10</v>
      </c>
      <c r="B11" s="24" t="s">
        <v>1275</v>
      </c>
      <c r="C11" s="129" t="s">
        <v>497</v>
      </c>
      <c r="D11" s="129" t="s">
        <v>497</v>
      </c>
      <c r="E11" s="129" t="s">
        <v>554</v>
      </c>
      <c r="F11" s="129" t="s">
        <v>648</v>
      </c>
      <c r="G11" s="97" t="str">
        <f>IF(VLOOKUP(B11,'비품현황표(전체)'!$A$1:$F$273,6,FALSE)=0,"",VLOOKUP(B11,'비품현황표(전체)'!$A$1:$F$273,6,FALSE))</f>
        <v/>
      </c>
      <c r="H11" s="97">
        <v>3</v>
      </c>
    </row>
    <row r="12" spans="1:8" x14ac:dyDescent="0.15">
      <c r="A12" s="144">
        <v>11</v>
      </c>
      <c r="B12" s="129" t="s">
        <v>89</v>
      </c>
      <c r="C12" s="129" t="s">
        <v>395</v>
      </c>
      <c r="D12" s="129" t="s">
        <v>99</v>
      </c>
      <c r="E12" s="129" t="s">
        <v>556</v>
      </c>
      <c r="F12" s="129" t="s">
        <v>643</v>
      </c>
      <c r="G12" s="97" t="str">
        <f>IF(VLOOKUP(B12,'비품현황표(전체)'!$A$1:$F$273,6,FALSE)=0,"",VLOOKUP(B12,'비품현황표(전체)'!$A$1:$F$273,6,FALSE))</f>
        <v/>
      </c>
      <c r="H12" s="97">
        <v>5</v>
      </c>
    </row>
    <row r="13" spans="1:8" x14ac:dyDescent="0.15">
      <c r="A13" s="144">
        <v>12</v>
      </c>
      <c r="B13" s="100" t="s">
        <v>330</v>
      </c>
      <c r="C13" s="100" t="s">
        <v>506</v>
      </c>
      <c r="D13" s="100" t="s">
        <v>329</v>
      </c>
      <c r="E13" s="100" t="s">
        <v>585</v>
      </c>
      <c r="F13" s="100" t="s">
        <v>655</v>
      </c>
      <c r="G13" s="97" t="str">
        <f>IF(VLOOKUP(B13,'비품현황표(전체)'!$A$1:$F$273,6,FALSE)=0,"",VLOOKUP(B13,'비품현황표(전체)'!$A$1:$F$273,6,FALSE))</f>
        <v>유사발음</v>
      </c>
      <c r="H13" s="101">
        <v>1</v>
      </c>
    </row>
    <row r="14" spans="1:8" x14ac:dyDescent="0.15">
      <c r="A14" s="144">
        <v>13</v>
      </c>
      <c r="B14" s="95" t="s">
        <v>543</v>
      </c>
      <c r="C14" s="96" t="s">
        <v>80</v>
      </c>
      <c r="D14" s="96" t="s">
        <v>80</v>
      </c>
      <c r="E14" s="96" t="s">
        <v>574</v>
      </c>
      <c r="F14" s="96" t="s">
        <v>677</v>
      </c>
      <c r="G14" s="97" t="str">
        <f>IF(VLOOKUP(B14,'비품현황표(전체)'!$A$1:$F$273,6,FALSE)=0,"",VLOOKUP(B14,'비품현황표(전체)'!$A$1:$F$273,6,FALSE))</f>
        <v>고위험의약품</v>
      </c>
      <c r="H14" s="98">
        <v>2</v>
      </c>
    </row>
    <row r="15" spans="1:8" x14ac:dyDescent="0.15">
      <c r="A15" s="144">
        <v>14</v>
      </c>
      <c r="B15" s="128" t="s">
        <v>14</v>
      </c>
      <c r="C15" s="129" t="s">
        <v>416</v>
      </c>
      <c r="D15" s="129" t="s">
        <v>191</v>
      </c>
      <c r="E15" s="129" t="s">
        <v>554</v>
      </c>
      <c r="F15" s="129" t="s">
        <v>684</v>
      </c>
      <c r="G15" s="97" t="str">
        <f>IF(VLOOKUP(B15,'비품현황표(전체)'!$A$1:$F$273,6,FALSE)=0,"",VLOOKUP(B15,'비품현황표(전체)'!$A$1:$F$273,6,FALSE))</f>
        <v>고위험의약품</v>
      </c>
      <c r="H15" s="97">
        <v>3</v>
      </c>
    </row>
    <row r="16" spans="1:8" x14ac:dyDescent="0.15">
      <c r="A16" s="144">
        <v>15</v>
      </c>
      <c r="B16" s="128" t="s">
        <v>67</v>
      </c>
      <c r="C16" s="129" t="s">
        <v>417</v>
      </c>
      <c r="D16" s="129" t="s">
        <v>192</v>
      </c>
      <c r="E16" s="129" t="s">
        <v>554</v>
      </c>
      <c r="F16" s="129" t="s">
        <v>685</v>
      </c>
      <c r="G16" s="97" t="str">
        <f>IF(VLOOKUP(B16,'비품현황표(전체)'!$A$1:$F$273,6,FALSE)=0,"",VLOOKUP(B16,'비품현황표(전체)'!$A$1:$F$273,6,FALSE))</f>
        <v/>
      </c>
      <c r="H16" s="97">
        <v>2</v>
      </c>
    </row>
    <row r="17" spans="1:8" x14ac:dyDescent="0.15">
      <c r="A17" s="144">
        <v>16</v>
      </c>
      <c r="B17" s="128" t="s">
        <v>544</v>
      </c>
      <c r="C17" s="129" t="s">
        <v>545</v>
      </c>
      <c r="D17" s="129" t="s">
        <v>334</v>
      </c>
      <c r="E17" s="129" t="s">
        <v>556</v>
      </c>
      <c r="F17" s="129" t="s">
        <v>753</v>
      </c>
      <c r="G17" s="97" t="str">
        <f>IF(VLOOKUP(B17,'비품현황표(전체)'!$A$1:$F$273,6,FALSE)=0,"",VLOOKUP(B17,'비품현황표(전체)'!$A$1:$F$273,6,FALSE))</f>
        <v/>
      </c>
      <c r="H17" s="97">
        <v>10</v>
      </c>
    </row>
    <row r="18" spans="1:8" x14ac:dyDescent="0.15">
      <c r="A18" s="144">
        <v>17</v>
      </c>
      <c r="B18" s="128" t="s">
        <v>1263</v>
      </c>
      <c r="C18" s="129" t="s">
        <v>546</v>
      </c>
      <c r="D18" s="129" t="s">
        <v>1265</v>
      </c>
      <c r="E18" s="129" t="s">
        <v>561</v>
      </c>
      <c r="F18" s="129" t="s">
        <v>689</v>
      </c>
      <c r="G18" s="97" t="str">
        <f>IF(VLOOKUP(B18,'비품현황표(전체)'!$A$1:$F$273,6,FALSE)=0,"",VLOOKUP(B18,'비품현황표(전체)'!$A$1:$F$273,6,FALSE))</f>
        <v/>
      </c>
      <c r="H18" s="97">
        <v>2</v>
      </c>
    </row>
    <row r="19" spans="1:8" x14ac:dyDescent="0.15">
      <c r="A19" s="144">
        <v>18</v>
      </c>
      <c r="B19" s="129" t="s">
        <v>53</v>
      </c>
      <c r="C19" s="129" t="s">
        <v>420</v>
      </c>
      <c r="D19" s="129" t="s">
        <v>130</v>
      </c>
      <c r="E19" s="129" t="s">
        <v>556</v>
      </c>
      <c r="F19" s="129" t="s">
        <v>647</v>
      </c>
      <c r="G19" s="97" t="str">
        <f>IF(VLOOKUP(B19,'비품현황표(전체)'!$A$1:$F$273,6,FALSE)=0,"",VLOOKUP(B19,'비품현황표(전체)'!$A$1:$F$273,6,FALSE))</f>
        <v/>
      </c>
      <c r="H19" s="97">
        <v>10</v>
      </c>
    </row>
    <row r="20" spans="1:8" x14ac:dyDescent="0.15">
      <c r="A20" s="144">
        <v>19</v>
      </c>
      <c r="B20" s="128" t="s">
        <v>29</v>
      </c>
      <c r="C20" s="129" t="s">
        <v>427</v>
      </c>
      <c r="D20" s="129" t="s">
        <v>171</v>
      </c>
      <c r="E20" s="129" t="s">
        <v>556</v>
      </c>
      <c r="F20" s="129" t="s">
        <v>696</v>
      </c>
      <c r="G20" s="97" t="str">
        <f>IF(VLOOKUP(B20,'비품현황표(전체)'!$A$1:$F$273,6,FALSE)=0,"",VLOOKUP(B20,'비품현황표(전체)'!$A$1:$F$273,6,FALSE))</f>
        <v/>
      </c>
      <c r="H20" s="97">
        <v>10</v>
      </c>
    </row>
    <row r="21" spans="1:8" x14ac:dyDescent="0.15">
      <c r="A21" s="144">
        <v>20</v>
      </c>
      <c r="B21" s="128" t="s">
        <v>52</v>
      </c>
      <c r="C21" s="129" t="s">
        <v>428</v>
      </c>
      <c r="D21" s="129" t="s">
        <v>197</v>
      </c>
      <c r="E21" s="129" t="s">
        <v>556</v>
      </c>
      <c r="F21" s="129" t="s">
        <v>633</v>
      </c>
      <c r="G21" s="97" t="str">
        <f>IF(VLOOKUP(B21,'비품현황표(전체)'!$A$1:$F$273,6,FALSE)=0,"",VLOOKUP(B21,'비품현황표(전체)'!$A$1:$F$273,6,FALSE))</f>
        <v/>
      </c>
      <c r="H21" s="97">
        <v>2</v>
      </c>
    </row>
    <row r="22" spans="1:8" x14ac:dyDescent="0.15">
      <c r="A22" s="144">
        <v>21</v>
      </c>
      <c r="B22" s="142" t="s">
        <v>368</v>
      </c>
      <c r="C22" s="143" t="s">
        <v>548</v>
      </c>
      <c r="D22" s="143" t="s">
        <v>337</v>
      </c>
      <c r="E22" s="96" t="s">
        <v>597</v>
      </c>
      <c r="F22" s="96" t="s">
        <v>755</v>
      </c>
      <c r="G22" s="97" t="str">
        <f>IF(VLOOKUP(B22,'비품현황표(전체)'!$A$1:$F$273,6,FALSE)=0,"",VLOOKUP(B22,'비품현황표(전체)'!$A$1:$F$273,6,FALSE))</f>
        <v/>
      </c>
      <c r="H22" s="98">
        <v>3</v>
      </c>
    </row>
    <row r="23" spans="1:8" x14ac:dyDescent="0.15">
      <c r="A23" s="144">
        <v>22</v>
      </c>
      <c r="B23" s="129" t="s">
        <v>95</v>
      </c>
      <c r="C23" s="129" t="s">
        <v>429</v>
      </c>
      <c r="D23" s="129" t="s">
        <v>198</v>
      </c>
      <c r="E23" s="129" t="s">
        <v>554</v>
      </c>
      <c r="F23" s="129" t="s">
        <v>648</v>
      </c>
      <c r="G23" s="97" t="str">
        <f>IF(VLOOKUP(B23,'비품현황표(전체)'!$A$1:$F$273,6,FALSE)=0,"",VLOOKUP(B23,'비품현황표(전체)'!$A$1:$F$273,6,FALSE))</f>
        <v/>
      </c>
      <c r="H23" s="97">
        <v>2</v>
      </c>
    </row>
    <row r="24" spans="1:8" x14ac:dyDescent="0.15">
      <c r="A24" s="144">
        <v>23</v>
      </c>
      <c r="B24" s="128" t="s">
        <v>919</v>
      </c>
      <c r="C24" s="129" t="s">
        <v>524</v>
      </c>
      <c r="D24" s="129" t="s">
        <v>971</v>
      </c>
      <c r="E24" s="129" t="s">
        <v>556</v>
      </c>
      <c r="F24" s="129" t="s">
        <v>920</v>
      </c>
      <c r="G24" s="97" t="str">
        <f>IF(VLOOKUP(B24,'비품현황표(전체)'!$A$1:$F$273,6,FALSE)=0,"",VLOOKUP(B24,'비품현황표(전체)'!$A$1:$F$273,6,FALSE))</f>
        <v/>
      </c>
      <c r="H24" s="97">
        <v>2</v>
      </c>
    </row>
    <row r="25" spans="1:8" x14ac:dyDescent="0.15">
      <c r="A25" s="144">
        <v>24</v>
      </c>
      <c r="B25" s="132" t="s">
        <v>97</v>
      </c>
      <c r="C25" s="132" t="s">
        <v>445</v>
      </c>
      <c r="D25" s="132" t="s">
        <v>200</v>
      </c>
      <c r="E25" s="129" t="s">
        <v>606</v>
      </c>
      <c r="F25" s="129" t="s">
        <v>708</v>
      </c>
      <c r="G25" s="97" t="str">
        <f>IF(VLOOKUP(B25,'비품현황표(전체)'!$A$1:$F$273,6,FALSE)=0,"",VLOOKUP(B25,'비품현황표(전체)'!$A$1:$F$273,6,FALSE))</f>
        <v/>
      </c>
      <c r="H25" s="97">
        <v>6</v>
      </c>
    </row>
    <row r="26" spans="1:8" x14ac:dyDescent="0.15">
      <c r="A26" s="144">
        <v>25</v>
      </c>
      <c r="B26" s="95" t="s">
        <v>234</v>
      </c>
      <c r="C26" s="96" t="s">
        <v>452</v>
      </c>
      <c r="D26" s="96" t="s">
        <v>136</v>
      </c>
      <c r="E26" s="96" t="s">
        <v>560</v>
      </c>
      <c r="F26" s="96" t="s">
        <v>640</v>
      </c>
      <c r="G26" s="97" t="str">
        <f>IF(VLOOKUP(B26,'비품현황표(전체)'!$A$1:$F$273,6,FALSE)=0,"",VLOOKUP(B26,'비품현황표(전체)'!$A$1:$F$273,6,FALSE))</f>
        <v/>
      </c>
      <c r="H26" s="98">
        <v>5</v>
      </c>
    </row>
    <row r="27" spans="1:8" x14ac:dyDescent="0.15">
      <c r="A27" s="144">
        <v>26</v>
      </c>
      <c r="B27" s="100" t="s">
        <v>39</v>
      </c>
      <c r="C27" s="100" t="s">
        <v>455</v>
      </c>
      <c r="D27" s="100" t="s">
        <v>134</v>
      </c>
      <c r="E27" s="100" t="s">
        <v>561</v>
      </c>
      <c r="F27" s="100" t="s">
        <v>718</v>
      </c>
      <c r="G27" s="97" t="str">
        <f>IF(VLOOKUP(B27,'비품현황표(전체)'!$A$1:$F$273,6,FALSE)=0,"",VLOOKUP(B27,'비품현황표(전체)'!$A$1:$F$273,6,FALSE))</f>
        <v>유사발음</v>
      </c>
      <c r="H27" s="101">
        <v>5</v>
      </c>
    </row>
    <row r="28" spans="1:8" x14ac:dyDescent="0.15">
      <c r="A28" s="144">
        <v>27</v>
      </c>
      <c r="B28" s="23" t="s">
        <v>33</v>
      </c>
      <c r="C28" s="11" t="s">
        <v>459</v>
      </c>
      <c r="D28" s="11" t="s">
        <v>148</v>
      </c>
      <c r="E28" s="11" t="s">
        <v>612</v>
      </c>
      <c r="F28" s="11" t="s">
        <v>701</v>
      </c>
      <c r="G28" s="44" t="s">
        <v>341</v>
      </c>
      <c r="H28" s="101">
        <v>8</v>
      </c>
    </row>
    <row r="29" spans="1:8" x14ac:dyDescent="0.15">
      <c r="A29" s="144">
        <v>28</v>
      </c>
      <c r="B29" s="99" t="s">
        <v>264</v>
      </c>
      <c r="C29" s="100" t="s">
        <v>550</v>
      </c>
      <c r="D29" s="100" t="s">
        <v>276</v>
      </c>
      <c r="E29" s="100" t="s">
        <v>558</v>
      </c>
      <c r="F29" s="100" t="s">
        <v>660</v>
      </c>
      <c r="G29" s="101" t="str">
        <f>VLOOKUP(B29,'비품현황표(전체)'!$A$1:$F$273,6, )</f>
        <v>유사모양</v>
      </c>
      <c r="H29" s="101">
        <v>5</v>
      </c>
    </row>
    <row r="30" spans="1:8" x14ac:dyDescent="0.15">
      <c r="A30" s="144">
        <v>30</v>
      </c>
      <c r="B30" s="96" t="s">
        <v>235</v>
      </c>
      <c r="C30" s="96" t="s">
        <v>535</v>
      </c>
      <c r="D30" s="96" t="s">
        <v>236</v>
      </c>
      <c r="E30" s="96" t="s">
        <v>573</v>
      </c>
      <c r="F30" s="96" t="s">
        <v>732</v>
      </c>
      <c r="G30" s="97" t="str">
        <f>IF(VLOOKUP(B30,'비품현황표(전체)'!$A$1:$F$273,6,FALSE)=0,"",VLOOKUP(B30,'비품현황표(전체)'!$A$1:$F$273,6,FALSE))</f>
        <v/>
      </c>
      <c r="H30" s="98">
        <v>1</v>
      </c>
    </row>
    <row r="31" spans="1:8" x14ac:dyDescent="0.15">
      <c r="A31" s="144">
        <v>31</v>
      </c>
      <c r="B31" s="95" t="s">
        <v>27</v>
      </c>
      <c r="C31" s="102" t="s">
        <v>475</v>
      </c>
      <c r="D31" s="102" t="s">
        <v>135</v>
      </c>
      <c r="E31" s="102" t="s">
        <v>556</v>
      </c>
      <c r="F31" s="102" t="s">
        <v>639</v>
      </c>
      <c r="G31" s="97" t="str">
        <f>IF(VLOOKUP(B31,'비품현황표(전체)'!$A$1:$F$273,6,FALSE)=0,"",VLOOKUP(B31,'비품현황표(전체)'!$A$1:$F$273,6,FALSE))</f>
        <v/>
      </c>
      <c r="H31" s="98">
        <v>10</v>
      </c>
    </row>
    <row r="32" spans="1:8" x14ac:dyDescent="0.15">
      <c r="A32" s="144">
        <v>32</v>
      </c>
      <c r="B32" s="24" t="s">
        <v>1362</v>
      </c>
      <c r="C32" s="2"/>
      <c r="D32" s="2" t="s">
        <v>1363</v>
      </c>
      <c r="E32" s="2"/>
      <c r="F32" s="2" t="s">
        <v>1260</v>
      </c>
      <c r="G32" s="97"/>
      <c r="H32" s="98">
        <v>1</v>
      </c>
    </row>
    <row r="33" spans="1:8" x14ac:dyDescent="0.15">
      <c r="A33" s="144">
        <v>33</v>
      </c>
      <c r="B33" s="95" t="s">
        <v>44</v>
      </c>
      <c r="C33" s="96" t="s">
        <v>480</v>
      </c>
      <c r="D33" s="96" t="s">
        <v>216</v>
      </c>
      <c r="E33" s="96" t="s">
        <v>561</v>
      </c>
      <c r="F33" s="96" t="s">
        <v>739</v>
      </c>
      <c r="G33" s="97" t="str">
        <f>IF(VLOOKUP(B33,'비품현황표(전체)'!$A$1:$F$273,6,FALSE)=0,"",VLOOKUP(B33,'비품현황표(전체)'!$A$1:$F$273,6,FALSE))</f>
        <v/>
      </c>
      <c r="H33" s="98">
        <v>2</v>
      </c>
    </row>
    <row r="34" spans="1:8" x14ac:dyDescent="0.15">
      <c r="A34" s="144">
        <v>34</v>
      </c>
      <c r="B34" s="27" t="s">
        <v>46</v>
      </c>
      <c r="C34" s="15" t="s">
        <v>482</v>
      </c>
      <c r="D34" s="15" t="s">
        <v>153</v>
      </c>
      <c r="E34" s="15" t="s">
        <v>569</v>
      </c>
      <c r="F34" s="15" t="s">
        <v>743</v>
      </c>
      <c r="G34" s="44" t="s">
        <v>341</v>
      </c>
      <c r="H34" s="139">
        <v>6</v>
      </c>
    </row>
    <row r="35" spans="1:8" x14ac:dyDescent="0.15">
      <c r="A35" s="144">
        <v>35</v>
      </c>
      <c r="B35" s="92" t="s">
        <v>834</v>
      </c>
      <c r="C35" s="92" t="s">
        <v>536</v>
      </c>
      <c r="D35" s="92" t="s">
        <v>835</v>
      </c>
      <c r="E35" s="123"/>
      <c r="F35" s="92" t="s">
        <v>733</v>
      </c>
      <c r="G35" s="81"/>
      <c r="H35" s="110">
        <v>5</v>
      </c>
    </row>
    <row r="36" spans="1:8" x14ac:dyDescent="0.15">
      <c r="A36" s="81"/>
      <c r="B36" s="81"/>
      <c r="C36" s="81"/>
      <c r="D36" s="93" t="s">
        <v>804</v>
      </c>
      <c r="E36" s="81"/>
      <c r="F36" s="106"/>
      <c r="G36" s="81"/>
      <c r="H36" s="110">
        <v>35</v>
      </c>
    </row>
  </sheetData>
  <phoneticPr fontId="1" type="noConversion"/>
  <conditionalFormatting sqref="G3:G9 G30:G33 G11:G27">
    <cfRule type="containsText" dxfId="110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109" priority="12" operator="containsText" text="혼돈주의약품, 유사모양, 유사발음">
      <formula>NOT(ISERROR(SEARCH("혼돈주의약품, 유사모양, 유사발음",G3)))</formula>
    </cfRule>
  </conditionalFormatting>
  <conditionalFormatting sqref="B11">
    <cfRule type="duplicateValues" dxfId="108" priority="9"/>
  </conditionalFormatting>
  <conditionalFormatting sqref="B35">
    <cfRule type="duplicateValues" dxfId="107" priority="8"/>
  </conditionalFormatting>
  <conditionalFormatting sqref="B2">
    <cfRule type="duplicateValues" dxfId="106" priority="7"/>
  </conditionalFormatting>
  <conditionalFormatting sqref="B28">
    <cfRule type="duplicateValues" dxfId="105" priority="6"/>
  </conditionalFormatting>
  <conditionalFormatting sqref="B9">
    <cfRule type="duplicateValues" dxfId="104" priority="5"/>
  </conditionalFormatting>
  <conditionalFormatting sqref="B10">
    <cfRule type="duplicateValues" dxfId="103" priority="4"/>
  </conditionalFormatting>
  <conditionalFormatting sqref="B34">
    <cfRule type="duplicateValues" dxfId="102" priority="2"/>
  </conditionalFormatting>
  <conditionalFormatting sqref="B32">
    <cfRule type="duplicateValues" dxfId="101" priority="1"/>
  </conditionalFormatting>
  <pageMargins left="0.7" right="0.7" top="0.75" bottom="0.75" header="0.3" footer="0.3"/>
  <pageSetup paperSize="9" orientation="portrait" r:id="rId1"/>
  <headerFooter>
    <oddHeader>&amp;C&amp;"돋움,굵게"응급실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view="pageLayout" zoomScaleNormal="100" workbookViewId="0">
      <selection activeCell="H4" sqref="H4"/>
    </sheetView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8.21875" customWidth="1"/>
  </cols>
  <sheetData>
    <row r="1" spans="1:8" x14ac:dyDescent="0.15">
      <c r="A1" s="104" t="s">
        <v>626</v>
      </c>
      <c r="B1" s="103" t="s">
        <v>48</v>
      </c>
      <c r="C1" s="103" t="s">
        <v>49</v>
      </c>
      <c r="D1" s="103" t="s">
        <v>267</v>
      </c>
      <c r="E1" s="103" t="s">
        <v>50</v>
      </c>
      <c r="F1" s="103" t="s">
        <v>632</v>
      </c>
      <c r="G1" s="103" t="s">
        <v>359</v>
      </c>
      <c r="H1" s="104" t="s">
        <v>1328</v>
      </c>
    </row>
    <row r="2" spans="1:8" x14ac:dyDescent="0.15">
      <c r="A2" s="122">
        <v>1</v>
      </c>
      <c r="B2" s="23" t="s">
        <v>543</v>
      </c>
      <c r="C2" s="11" t="s">
        <v>80</v>
      </c>
      <c r="D2" s="11" t="s">
        <v>80</v>
      </c>
      <c r="E2" s="11" t="s">
        <v>574</v>
      </c>
      <c r="F2" s="11" t="s">
        <v>677</v>
      </c>
      <c r="G2" s="44" t="s">
        <v>1297</v>
      </c>
      <c r="H2" s="119">
        <v>2</v>
      </c>
    </row>
    <row r="3" spans="1:8" x14ac:dyDescent="0.15">
      <c r="A3" s="81"/>
      <c r="B3" s="81"/>
      <c r="C3" s="81"/>
      <c r="D3" s="93" t="s">
        <v>371</v>
      </c>
      <c r="E3" s="81"/>
      <c r="F3" s="81"/>
      <c r="G3" s="81"/>
      <c r="H3" s="163">
        <v>1</v>
      </c>
    </row>
  </sheetData>
  <phoneticPr fontId="1" type="noConversion"/>
  <conditionalFormatting sqref="B2">
    <cfRule type="duplicateValues" dxfId="100" priority="26"/>
  </conditionalFormatting>
  <pageMargins left="0.7" right="0.7" top="0.75" bottom="0.75" header="0.3" footer="0.3"/>
  <pageSetup paperSize="9" orientation="portrait" r:id="rId1"/>
  <headerFooter>
    <oddHeader>&amp;C&amp;"돋움,굵게"RRT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view="pageLayout" zoomScaleNormal="100" workbookViewId="0">
      <selection activeCell="A8" sqref="A8:A31"/>
    </sheetView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44140625" customWidth="1"/>
    <col min="7" max="7" width="7.109375" customWidth="1"/>
    <col min="8" max="8" width="7.554687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103" t="s">
        <v>359</v>
      </c>
      <c r="H1" s="104" t="s">
        <v>1345</v>
      </c>
    </row>
    <row r="2" spans="1:8" x14ac:dyDescent="0.15">
      <c r="A2" s="130">
        <v>1</v>
      </c>
      <c r="B2" s="128" t="s">
        <v>226</v>
      </c>
      <c r="C2" s="129" t="s">
        <v>491</v>
      </c>
      <c r="D2" s="129" t="s">
        <v>225</v>
      </c>
      <c r="E2" s="129" t="s">
        <v>564</v>
      </c>
      <c r="F2" s="129" t="s">
        <v>640</v>
      </c>
      <c r="G2" s="97" t="str">
        <f>IF(VLOOKUP(B2,'비품현황표(전체)'!$A$1:$F$273,6,FALSE)=0,"",VLOOKUP(B2,'비품현황표(전체)'!$A$1:$F$273,6,FALSE))</f>
        <v/>
      </c>
      <c r="H2" s="97">
        <v>3</v>
      </c>
    </row>
    <row r="3" spans="1:8" x14ac:dyDescent="0.15">
      <c r="A3" s="130">
        <v>2</v>
      </c>
      <c r="B3" s="129" t="s">
        <v>911</v>
      </c>
      <c r="C3" s="129" t="s">
        <v>147</v>
      </c>
      <c r="D3" s="129" t="s">
        <v>910</v>
      </c>
      <c r="E3" s="129" t="s">
        <v>570</v>
      </c>
      <c r="F3" s="129" t="s">
        <v>912</v>
      </c>
      <c r="G3" s="97" t="str">
        <f>IF(VLOOKUP(B3,'비품현황표(전체)'!$A$1:$F$273,6,FALSE)=0,"",VLOOKUP(B3,'비품현황표(전체)'!$A$1:$F$273,6,FALSE))</f>
        <v/>
      </c>
      <c r="H3" s="97">
        <v>6</v>
      </c>
    </row>
    <row r="4" spans="1:8" x14ac:dyDescent="0.15">
      <c r="A4" s="130">
        <v>3</v>
      </c>
      <c r="B4" s="24" t="s">
        <v>55</v>
      </c>
      <c r="C4" s="2" t="s">
        <v>379</v>
      </c>
      <c r="D4" s="2" t="s">
        <v>155</v>
      </c>
      <c r="E4" s="2" t="s">
        <v>556</v>
      </c>
      <c r="F4" s="2" t="s">
        <v>647</v>
      </c>
      <c r="G4" s="97"/>
      <c r="H4" s="97">
        <v>10</v>
      </c>
    </row>
    <row r="5" spans="1:8" x14ac:dyDescent="0.15">
      <c r="A5" s="130">
        <v>4</v>
      </c>
      <c r="B5" s="24" t="s">
        <v>1088</v>
      </c>
      <c r="C5" s="2" t="s">
        <v>1090</v>
      </c>
      <c r="D5" s="2" t="s">
        <v>1089</v>
      </c>
      <c r="E5" s="2" t="s">
        <v>1091</v>
      </c>
      <c r="F5" s="2" t="s">
        <v>875</v>
      </c>
      <c r="G5" s="97"/>
      <c r="H5" s="97">
        <v>4</v>
      </c>
    </row>
    <row r="6" spans="1:8" x14ac:dyDescent="0.15">
      <c r="A6" s="130">
        <v>5</v>
      </c>
      <c r="B6" s="24" t="s">
        <v>1278</v>
      </c>
      <c r="C6" s="2" t="s">
        <v>497</v>
      </c>
      <c r="D6" s="2" t="s">
        <v>497</v>
      </c>
      <c r="E6" s="2" t="s">
        <v>554</v>
      </c>
      <c r="F6" s="2" t="s">
        <v>648</v>
      </c>
      <c r="G6" s="97"/>
      <c r="H6" s="97">
        <v>1</v>
      </c>
    </row>
    <row r="7" spans="1:8" x14ac:dyDescent="0.15">
      <c r="A7" s="130">
        <v>6</v>
      </c>
      <c r="B7" s="217" t="s">
        <v>73</v>
      </c>
      <c r="C7" s="218" t="s">
        <v>389</v>
      </c>
      <c r="D7" s="218" t="s">
        <v>72</v>
      </c>
      <c r="E7" s="220" t="s">
        <v>565</v>
      </c>
      <c r="F7" s="220" t="s">
        <v>665</v>
      </c>
      <c r="G7" s="219" t="str">
        <f>IF(VLOOKUP(B7,'비품현황표(전체)'!$A$1:$F$273,6,FALSE)=0,"",VLOOKUP(B7,'비품현황표(전체)'!$A$1:$F$273,6,FALSE))</f>
        <v/>
      </c>
      <c r="H7" s="219">
        <v>6</v>
      </c>
    </row>
    <row r="8" spans="1:8" x14ac:dyDescent="0.15">
      <c r="A8" s="130">
        <v>7</v>
      </c>
      <c r="B8" s="128" t="s">
        <v>69</v>
      </c>
      <c r="C8" s="129" t="s">
        <v>499</v>
      </c>
      <c r="D8" s="129" t="s">
        <v>836</v>
      </c>
      <c r="E8" s="129" t="s">
        <v>578</v>
      </c>
      <c r="F8" s="129" t="s">
        <v>640</v>
      </c>
      <c r="G8" s="97" t="str">
        <f>IF(VLOOKUP(B8,'비품현황표(전체)'!$A$1:$F$273,6,FALSE)=0,"",VLOOKUP(B8,'비품현황표(전체)'!$A$1:$F$273,6,FALSE))</f>
        <v/>
      </c>
      <c r="H8" s="97">
        <v>6</v>
      </c>
    </row>
    <row r="9" spans="1:8" x14ac:dyDescent="0.15">
      <c r="A9" s="130">
        <v>8</v>
      </c>
      <c r="B9" s="136" t="s">
        <v>83</v>
      </c>
      <c r="C9" s="129" t="s">
        <v>393</v>
      </c>
      <c r="D9" s="129" t="s">
        <v>188</v>
      </c>
      <c r="E9" s="129" t="s">
        <v>554</v>
      </c>
      <c r="F9" s="129" t="s">
        <v>655</v>
      </c>
      <c r="G9" s="97" t="str">
        <f>IF(VLOOKUP(B9,'비품현황표(전체)'!$A$1:$F$273,6,FALSE)=0,"",VLOOKUP(B9,'비품현황표(전체)'!$A$1:$F$273,6,FALSE))</f>
        <v/>
      </c>
      <c r="H9" s="97">
        <v>4</v>
      </c>
    </row>
    <row r="10" spans="1:8" x14ac:dyDescent="0.15">
      <c r="A10" s="130">
        <v>9</v>
      </c>
      <c r="B10" s="23" t="s">
        <v>3</v>
      </c>
      <c r="C10" s="11" t="s">
        <v>398</v>
      </c>
      <c r="D10" s="11" t="s">
        <v>219</v>
      </c>
      <c r="E10" s="11" t="s">
        <v>583</v>
      </c>
      <c r="F10" s="11" t="s">
        <v>651</v>
      </c>
      <c r="G10" s="44" t="s">
        <v>339</v>
      </c>
      <c r="H10" s="101">
        <v>2</v>
      </c>
    </row>
    <row r="11" spans="1:8" x14ac:dyDescent="0.15">
      <c r="A11" s="130">
        <v>10</v>
      </c>
      <c r="B11" s="23" t="s">
        <v>66</v>
      </c>
      <c r="C11" s="11" t="s">
        <v>401</v>
      </c>
      <c r="D11" s="11" t="s">
        <v>161</v>
      </c>
      <c r="E11" s="11" t="s">
        <v>556</v>
      </c>
      <c r="F11" s="11" t="s">
        <v>675</v>
      </c>
      <c r="G11" s="44" t="s">
        <v>339</v>
      </c>
      <c r="H11" s="101">
        <v>1</v>
      </c>
    </row>
    <row r="12" spans="1:8" x14ac:dyDescent="0.15">
      <c r="A12" s="130">
        <v>11</v>
      </c>
      <c r="B12" s="23" t="s">
        <v>21</v>
      </c>
      <c r="C12" s="11" t="s">
        <v>402</v>
      </c>
      <c r="D12" s="11" t="s">
        <v>162</v>
      </c>
      <c r="E12" s="11" t="s">
        <v>556</v>
      </c>
      <c r="F12" s="11" t="s">
        <v>676</v>
      </c>
      <c r="G12" s="44" t="s">
        <v>339</v>
      </c>
      <c r="H12" s="101">
        <v>10</v>
      </c>
    </row>
    <row r="13" spans="1:8" x14ac:dyDescent="0.15">
      <c r="A13" s="130">
        <v>12</v>
      </c>
      <c r="B13" s="217" t="s">
        <v>30</v>
      </c>
      <c r="C13" s="218" t="s">
        <v>408</v>
      </c>
      <c r="D13" s="218" t="s">
        <v>163</v>
      </c>
      <c r="E13" s="218" t="s">
        <v>556</v>
      </c>
      <c r="F13" s="218" t="s">
        <v>871</v>
      </c>
      <c r="G13" s="219" t="str">
        <f>IF(VLOOKUP(B13,'비품현황표(전체)'!$A$1:$F$273,6,FALSE)=0,"",VLOOKUP(B13,'비품현황표(전체)'!$A$1:$F$273,6,FALSE))</f>
        <v/>
      </c>
      <c r="H13" s="219">
        <v>8</v>
      </c>
    </row>
    <row r="14" spans="1:8" x14ac:dyDescent="0.15">
      <c r="A14" s="130">
        <v>13</v>
      </c>
      <c r="B14" s="24" t="s">
        <v>17</v>
      </c>
      <c r="C14" s="2" t="s">
        <v>411</v>
      </c>
      <c r="D14" s="2" t="s">
        <v>165</v>
      </c>
      <c r="E14" s="2" t="s">
        <v>559</v>
      </c>
      <c r="F14" s="2" t="s">
        <v>681</v>
      </c>
      <c r="G14" s="97"/>
      <c r="H14" s="97">
        <v>2</v>
      </c>
    </row>
    <row r="15" spans="1:8" x14ac:dyDescent="0.15">
      <c r="A15" s="130">
        <v>14</v>
      </c>
      <c r="B15" s="128" t="s">
        <v>51</v>
      </c>
      <c r="C15" s="129" t="s">
        <v>415</v>
      </c>
      <c r="D15" s="129" t="s">
        <v>190</v>
      </c>
      <c r="E15" s="129" t="s">
        <v>554</v>
      </c>
      <c r="F15" s="129" t="s">
        <v>644</v>
      </c>
      <c r="G15" s="97" t="str">
        <f>IF(VLOOKUP(B15,'비품현황표(전체)'!$A$1:$F$273,6,FALSE)=0,"",VLOOKUP(B15,'비품현황표(전체)'!$A$1:$F$273,6,FALSE))</f>
        <v>고위험의약품</v>
      </c>
      <c r="H15" s="97">
        <v>10</v>
      </c>
    </row>
    <row r="16" spans="1:8" x14ac:dyDescent="0.15">
      <c r="A16" s="130">
        <v>15</v>
      </c>
      <c r="B16" s="128" t="s">
        <v>1263</v>
      </c>
      <c r="C16" s="129" t="s">
        <v>546</v>
      </c>
      <c r="D16" s="129" t="s">
        <v>1266</v>
      </c>
      <c r="E16" s="129" t="s">
        <v>561</v>
      </c>
      <c r="F16" s="129" t="s">
        <v>689</v>
      </c>
      <c r="G16" s="97" t="str">
        <f>IF(VLOOKUP(B16,'비품현황표(전체)'!$A$1:$F$273,6,FALSE)=0,"",VLOOKUP(B16,'비품현황표(전체)'!$A$1:$F$273,6,FALSE))</f>
        <v/>
      </c>
      <c r="H16" s="97">
        <v>3</v>
      </c>
    </row>
    <row r="17" spans="1:8" x14ac:dyDescent="0.15">
      <c r="A17" s="130">
        <v>16</v>
      </c>
      <c r="B17" s="23" t="s">
        <v>63</v>
      </c>
      <c r="C17" s="11" t="s">
        <v>422</v>
      </c>
      <c r="D17" s="11" t="s">
        <v>169</v>
      </c>
      <c r="E17" s="11" t="s">
        <v>556</v>
      </c>
      <c r="F17" s="11" t="s">
        <v>692</v>
      </c>
      <c r="G17" s="44" t="s">
        <v>341</v>
      </c>
      <c r="H17" s="101">
        <v>1</v>
      </c>
    </row>
    <row r="18" spans="1:8" x14ac:dyDescent="0.15">
      <c r="A18" s="130">
        <v>17</v>
      </c>
      <c r="B18" s="129" t="s">
        <v>306</v>
      </c>
      <c r="C18" s="129" t="s">
        <v>547</v>
      </c>
      <c r="D18" s="129" t="s">
        <v>326</v>
      </c>
      <c r="E18" s="129" t="s">
        <v>554</v>
      </c>
      <c r="F18" s="129" t="s">
        <v>633</v>
      </c>
      <c r="G18" s="97" t="str">
        <f>IF(VLOOKUP(B18,'비품현황표(전체)'!$A$1:$F$273,6,FALSE)=0,"",VLOOKUP(B18,'비품현황표(전체)'!$A$1:$F$273,6,FALSE))</f>
        <v/>
      </c>
      <c r="H18" s="97">
        <v>10</v>
      </c>
    </row>
    <row r="19" spans="1:8" x14ac:dyDescent="0.15">
      <c r="A19" s="130">
        <v>18</v>
      </c>
      <c r="B19" s="128" t="s">
        <v>29</v>
      </c>
      <c r="C19" s="129" t="s">
        <v>427</v>
      </c>
      <c r="D19" s="129" t="s">
        <v>171</v>
      </c>
      <c r="E19" s="129" t="s">
        <v>556</v>
      </c>
      <c r="F19" s="129" t="s">
        <v>696</v>
      </c>
      <c r="G19" s="97" t="str">
        <f>IF(VLOOKUP(B19,'비품현황표(전체)'!$A$1:$F$273,6,FALSE)=0,"",VLOOKUP(B19,'비품현황표(전체)'!$A$1:$F$273,6,FALSE))</f>
        <v/>
      </c>
      <c r="H19" s="97">
        <v>2</v>
      </c>
    </row>
    <row r="20" spans="1:8" x14ac:dyDescent="0.15">
      <c r="A20" s="130">
        <v>19</v>
      </c>
      <c r="B20" s="25" t="s">
        <v>1004</v>
      </c>
      <c r="C20" s="2" t="s">
        <v>1005</v>
      </c>
      <c r="D20" s="3" t="s">
        <v>1006</v>
      </c>
      <c r="E20" s="2" t="s">
        <v>1007</v>
      </c>
      <c r="F20" s="2" t="s">
        <v>1008</v>
      </c>
      <c r="G20" s="97"/>
      <c r="H20" s="97">
        <v>2</v>
      </c>
    </row>
    <row r="21" spans="1:8" x14ac:dyDescent="0.15">
      <c r="A21" s="130">
        <v>20</v>
      </c>
      <c r="B21" s="40" t="s">
        <v>93</v>
      </c>
      <c r="C21" s="14" t="s">
        <v>446</v>
      </c>
      <c r="D21" s="14" t="s">
        <v>175</v>
      </c>
      <c r="E21" s="11" t="s">
        <v>582</v>
      </c>
      <c r="F21" s="11" t="s">
        <v>648</v>
      </c>
      <c r="G21" s="44" t="s">
        <v>341</v>
      </c>
      <c r="H21" s="101">
        <v>10</v>
      </c>
    </row>
    <row r="22" spans="1:8" x14ac:dyDescent="0.15">
      <c r="A22" s="130">
        <v>21</v>
      </c>
      <c r="B22" s="26" t="s">
        <v>1101</v>
      </c>
      <c r="C22" s="8" t="s">
        <v>1102</v>
      </c>
      <c r="D22" s="8" t="s">
        <v>1103</v>
      </c>
      <c r="E22" s="2" t="s">
        <v>1104</v>
      </c>
      <c r="F22" s="2" t="s">
        <v>1105</v>
      </c>
      <c r="G22" s="97"/>
      <c r="H22" s="97">
        <v>1</v>
      </c>
    </row>
    <row r="23" spans="1:8" x14ac:dyDescent="0.15">
      <c r="A23" s="130">
        <v>22</v>
      </c>
      <c r="B23" s="136" t="s">
        <v>841</v>
      </c>
      <c r="C23" s="159" t="s">
        <v>447</v>
      </c>
      <c r="D23" s="159" t="s">
        <v>201</v>
      </c>
      <c r="E23" s="129" t="s">
        <v>563</v>
      </c>
      <c r="F23" s="129" t="s">
        <v>709</v>
      </c>
      <c r="G23" s="97" t="str">
        <f>IF(VLOOKUP(B23,'비품현황표(전체)'!$A$1:$F$273,6,FALSE)=0,"",VLOOKUP(B23,'비품현황표(전체)'!$A$1:$F$273,6,FALSE))</f>
        <v/>
      </c>
      <c r="H23" s="97">
        <v>2</v>
      </c>
    </row>
    <row r="24" spans="1:8" x14ac:dyDescent="0.15">
      <c r="A24" s="130">
        <v>23</v>
      </c>
      <c r="B24" s="25" t="s">
        <v>24</v>
      </c>
      <c r="C24" s="2" t="s">
        <v>448</v>
      </c>
      <c r="D24" s="2" t="s">
        <v>138</v>
      </c>
      <c r="E24" s="2" t="s">
        <v>918</v>
      </c>
      <c r="F24" s="2" t="s">
        <v>710</v>
      </c>
      <c r="G24" s="97"/>
      <c r="H24" s="97">
        <v>6</v>
      </c>
    </row>
    <row r="25" spans="1:8" x14ac:dyDescent="0.15">
      <c r="A25" s="130">
        <v>24</v>
      </c>
      <c r="B25" s="24" t="s">
        <v>234</v>
      </c>
      <c r="C25" s="2" t="s">
        <v>452</v>
      </c>
      <c r="D25" s="2" t="s">
        <v>136</v>
      </c>
      <c r="E25" s="2" t="s">
        <v>560</v>
      </c>
      <c r="F25" s="2" t="s">
        <v>640</v>
      </c>
      <c r="G25" s="97"/>
      <c r="H25" s="97">
        <v>2</v>
      </c>
    </row>
    <row r="26" spans="1:8" x14ac:dyDescent="0.15">
      <c r="A26" s="130">
        <v>25</v>
      </c>
      <c r="B26" s="128" t="s">
        <v>37</v>
      </c>
      <c r="C26" s="129" t="s">
        <v>456</v>
      </c>
      <c r="D26" s="129" t="s">
        <v>202</v>
      </c>
      <c r="E26" s="129" t="s">
        <v>554</v>
      </c>
      <c r="F26" s="129" t="s">
        <v>720</v>
      </c>
      <c r="G26" s="97" t="str">
        <f>IF(VLOOKUP(B26,'비품현황표(전체)'!$A$1:$F$273,6,FALSE)=0,"",VLOOKUP(B26,'비품현황표(전체)'!$A$1:$F$273,6,FALSE))</f>
        <v/>
      </c>
      <c r="H26" s="97">
        <v>2</v>
      </c>
    </row>
    <row r="27" spans="1:8" x14ac:dyDescent="0.15">
      <c r="A27" s="130">
        <v>26</v>
      </c>
      <c r="B27" s="23" t="s">
        <v>33</v>
      </c>
      <c r="C27" s="11" t="s">
        <v>459</v>
      </c>
      <c r="D27" s="11" t="s">
        <v>148</v>
      </c>
      <c r="E27" s="11" t="s">
        <v>612</v>
      </c>
      <c r="F27" s="11" t="s">
        <v>701</v>
      </c>
      <c r="G27" s="44" t="s">
        <v>341</v>
      </c>
      <c r="H27" s="101">
        <v>16</v>
      </c>
    </row>
    <row r="28" spans="1:8" x14ac:dyDescent="0.15">
      <c r="A28" s="130">
        <v>27</v>
      </c>
      <c r="B28" s="99" t="s">
        <v>779</v>
      </c>
      <c r="C28" s="100" t="s">
        <v>780</v>
      </c>
      <c r="D28" s="100" t="s">
        <v>781</v>
      </c>
      <c r="E28" s="100" t="s">
        <v>782</v>
      </c>
      <c r="F28" s="100" t="s">
        <v>664</v>
      </c>
      <c r="G28" s="97" t="str">
        <f>IF(VLOOKUP(B28,'비품현황표(전체)'!$A$1:$F$273,6,FALSE)=0,"",VLOOKUP(B28,'비품현황표(전체)'!$A$1:$F$273,6,FALSE))</f>
        <v>유사발음</v>
      </c>
      <c r="H28" s="101">
        <v>5</v>
      </c>
    </row>
    <row r="29" spans="1:8" x14ac:dyDescent="0.15">
      <c r="A29" s="130">
        <v>28</v>
      </c>
      <c r="B29" s="95" t="s">
        <v>20</v>
      </c>
      <c r="C29" s="96" t="s">
        <v>462</v>
      </c>
      <c r="D29" s="96" t="s">
        <v>78</v>
      </c>
      <c r="E29" s="96" t="s">
        <v>559</v>
      </c>
      <c r="F29" s="96" t="s">
        <v>684</v>
      </c>
      <c r="G29" s="97" t="str">
        <f>IF(VLOOKUP(B29,'비품현황표(전체)'!$A$1:$F$273,6,FALSE)=0,"",VLOOKUP(B29,'비품현황표(전체)'!$A$1:$F$273,6,FALSE))</f>
        <v/>
      </c>
      <c r="H29" s="98">
        <v>2</v>
      </c>
    </row>
    <row r="30" spans="1:8" x14ac:dyDescent="0.15">
      <c r="A30" s="130">
        <v>29</v>
      </c>
      <c r="B30" s="218" t="s">
        <v>858</v>
      </c>
      <c r="C30" s="218" t="s">
        <v>859</v>
      </c>
      <c r="D30" s="218" t="s">
        <v>860</v>
      </c>
      <c r="E30" s="218" t="s">
        <v>861</v>
      </c>
      <c r="F30" s="218" t="s">
        <v>857</v>
      </c>
      <c r="G30" s="219" t="str">
        <f>IF(VLOOKUP(B30,'비품현황표(전체)'!$A$1:$F$273,6,FALSE)=0,"",VLOOKUP(B30,'비품현황표(전체)'!$A$1:$F$273,6,FALSE))</f>
        <v/>
      </c>
      <c r="H30" s="219">
        <v>4</v>
      </c>
    </row>
    <row r="31" spans="1:8" x14ac:dyDescent="0.15">
      <c r="A31" s="130">
        <v>30</v>
      </c>
      <c r="B31" s="107" t="s">
        <v>43</v>
      </c>
      <c r="C31" s="108" t="s">
        <v>476</v>
      </c>
      <c r="D31" s="108" t="s">
        <v>140</v>
      </c>
      <c r="E31" s="108" t="s">
        <v>556</v>
      </c>
      <c r="F31" s="108" t="s">
        <v>639</v>
      </c>
      <c r="G31" s="139" t="str">
        <f>IF(VLOOKUP(B31,'비품현황표(전체)'!$A$1:$F$273,6,FALSE)=0,"",VLOOKUP(B31,'비품현황표(전체)'!$A$1:$F$273,6,FALSE))</f>
        <v/>
      </c>
      <c r="H31" s="109">
        <v>2</v>
      </c>
    </row>
    <row r="32" spans="1:8" x14ac:dyDescent="0.15">
      <c r="A32" s="81"/>
      <c r="B32" s="81"/>
      <c r="C32" s="81"/>
      <c r="D32" s="93" t="s">
        <v>804</v>
      </c>
      <c r="E32" s="81"/>
      <c r="F32" s="106"/>
      <c r="G32" s="81"/>
      <c r="H32" s="110">
        <v>30</v>
      </c>
    </row>
  </sheetData>
  <phoneticPr fontId="1" type="noConversion"/>
  <conditionalFormatting sqref="G28:G31 G18:G20 G22:G26 G13:G16 G2:G9">
    <cfRule type="containsText" dxfId="99" priority="16" operator="containsText" text="유사">
      <formula>NOT(ISERROR(SEARCH("유사",G2)))</formula>
    </cfRule>
    <cfRule type="containsText" priority="17" operator="containsText" text="유사 용량">
      <formula>NOT(ISERROR(SEARCH("유사 용량",G2)))</formula>
    </cfRule>
    <cfRule type="containsText" dxfId="98" priority="18" operator="containsText" text="혼돈주의약품, 유사모양, 유사발음">
      <formula>NOT(ISERROR(SEARCH("혼돈주의약품, 유사모양, 유사발음",G2)))</formula>
    </cfRule>
  </conditionalFormatting>
  <conditionalFormatting sqref="B22">
    <cfRule type="duplicateValues" dxfId="97" priority="15"/>
  </conditionalFormatting>
  <conditionalFormatting sqref="B27">
    <cfRule type="duplicateValues" dxfId="96" priority="14"/>
  </conditionalFormatting>
  <conditionalFormatting sqref="B20">
    <cfRule type="duplicateValues" dxfId="95" priority="13"/>
  </conditionalFormatting>
  <conditionalFormatting sqref="B5">
    <cfRule type="duplicateValues" dxfId="94" priority="12"/>
  </conditionalFormatting>
  <conditionalFormatting sqref="B4">
    <cfRule type="duplicateValues" dxfId="93" priority="11"/>
  </conditionalFormatting>
  <conditionalFormatting sqref="B25">
    <cfRule type="duplicateValues" dxfId="92" priority="10"/>
  </conditionalFormatting>
  <conditionalFormatting sqref="B6">
    <cfRule type="duplicateValues" dxfId="91" priority="9"/>
  </conditionalFormatting>
  <conditionalFormatting sqref="B10">
    <cfRule type="duplicateValues" dxfId="90" priority="8"/>
  </conditionalFormatting>
  <conditionalFormatting sqref="B11">
    <cfRule type="duplicateValues" dxfId="89" priority="7"/>
  </conditionalFormatting>
  <conditionalFormatting sqref="B12">
    <cfRule type="duplicateValues" dxfId="88" priority="6"/>
  </conditionalFormatting>
  <conditionalFormatting sqref="B14">
    <cfRule type="duplicateValues" dxfId="87" priority="5"/>
  </conditionalFormatting>
  <conditionalFormatting sqref="B17">
    <cfRule type="duplicateValues" dxfId="86" priority="4"/>
  </conditionalFormatting>
  <conditionalFormatting sqref="B21">
    <cfRule type="duplicateValues" dxfId="85" priority="2"/>
  </conditionalFormatting>
  <conditionalFormatting sqref="B24">
    <cfRule type="duplicateValues" dxfId="84" priority="1"/>
  </conditionalFormatting>
  <pageMargins left="0.7" right="0.7" top="0.75" bottom="0.75" header="0.3" footer="0.3"/>
  <pageSetup paperSize="9" orientation="portrait" r:id="rId1"/>
  <headerFooter>
    <oddHeader>&amp;C&amp;"돋움,굵게"HBEF
심혈관조영실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view="pageLayout" zoomScaleNormal="100" workbookViewId="0">
      <selection activeCell="H36" sqref="H36"/>
    </sheetView>
  </sheetViews>
  <sheetFormatPr defaultRowHeight="13.5" x14ac:dyDescent="0.15"/>
  <cols>
    <col min="1" max="1" width="3.1093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21875" customWidth="1"/>
    <col min="7" max="7" width="7.5546875" customWidth="1"/>
    <col min="8" max="8" width="7.6640625" customWidth="1"/>
  </cols>
  <sheetData>
    <row r="1" spans="1:8" x14ac:dyDescent="0.15">
      <c r="A1" s="104" t="s">
        <v>625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762</v>
      </c>
      <c r="G1" s="103" t="s">
        <v>359</v>
      </c>
      <c r="H1" s="104" t="s">
        <v>1307</v>
      </c>
    </row>
    <row r="2" spans="1:8" x14ac:dyDescent="0.15">
      <c r="A2" s="104">
        <v>1</v>
      </c>
      <c r="B2" s="24" t="s">
        <v>791</v>
      </c>
      <c r="C2" s="2" t="s">
        <v>792</v>
      </c>
      <c r="D2" s="2" t="s">
        <v>793</v>
      </c>
      <c r="E2" s="5" t="s">
        <v>794</v>
      </c>
      <c r="F2" s="5" t="s">
        <v>795</v>
      </c>
      <c r="G2" s="103"/>
      <c r="H2" s="104">
        <v>1</v>
      </c>
    </row>
    <row r="3" spans="1:8" x14ac:dyDescent="0.15">
      <c r="A3" s="104">
        <v>2</v>
      </c>
      <c r="B3" s="130" t="s">
        <v>936</v>
      </c>
      <c r="C3" s="131"/>
      <c r="D3" s="131" t="s">
        <v>937</v>
      </c>
      <c r="E3" s="131"/>
      <c r="F3" s="127" t="s">
        <v>938</v>
      </c>
      <c r="G3" s="117" t="str">
        <f>IF(VLOOKUP(B3,'비품현황표(전체)'!$A$1:$F$273,6,FALSE)=0,"",VLOOKUP(B3,'비품현황표(전체)'!$A$1:$F$273,6,FALSE))</f>
        <v/>
      </c>
      <c r="H3" s="117">
        <v>10</v>
      </c>
    </row>
    <row r="4" spans="1:8" x14ac:dyDescent="0.15">
      <c r="A4" s="104">
        <v>3</v>
      </c>
      <c r="B4" s="129" t="s">
        <v>224</v>
      </c>
      <c r="C4" s="129" t="s">
        <v>383</v>
      </c>
      <c r="D4" s="129" t="s">
        <v>157</v>
      </c>
      <c r="E4" s="129" t="s">
        <v>561</v>
      </c>
      <c r="F4" s="129" t="s">
        <v>650</v>
      </c>
      <c r="G4" s="97" t="str">
        <f>IF(VLOOKUP(B4,'비품현황표(전체)'!$A$1:$F$273,6,FALSE)=0,"",VLOOKUP(B4,'비품현황표(전체)'!$A$1:$F$273,6,FALSE))</f>
        <v/>
      </c>
      <c r="H4" s="97">
        <v>20</v>
      </c>
    </row>
    <row r="5" spans="1:8" x14ac:dyDescent="0.15">
      <c r="A5" s="104">
        <v>4</v>
      </c>
      <c r="B5" s="128" t="s">
        <v>28</v>
      </c>
      <c r="C5" s="129" t="s">
        <v>392</v>
      </c>
      <c r="D5" s="129" t="s">
        <v>77</v>
      </c>
      <c r="E5" s="129" t="s">
        <v>554</v>
      </c>
      <c r="F5" s="129" t="s">
        <v>669</v>
      </c>
      <c r="G5" s="97" t="str">
        <f>IF(VLOOKUP(B5,'비품현황표(전체)'!$A$1:$F$273,6,FALSE)=0,"",VLOOKUP(B5,'비품현황표(전체)'!$A$1:$F$273,6,FALSE))</f>
        <v/>
      </c>
      <c r="H5" s="97">
        <v>5</v>
      </c>
    </row>
    <row r="6" spans="1:8" x14ac:dyDescent="0.15">
      <c r="A6" s="104">
        <v>5</v>
      </c>
      <c r="B6" s="99" t="s">
        <v>3</v>
      </c>
      <c r="C6" s="100" t="s">
        <v>398</v>
      </c>
      <c r="D6" s="100" t="s">
        <v>219</v>
      </c>
      <c r="E6" s="100" t="s">
        <v>583</v>
      </c>
      <c r="F6" s="100" t="s">
        <v>651</v>
      </c>
      <c r="G6" s="97" t="str">
        <f>IF(VLOOKUP(B6,'비품현황표(전체)'!$A$1:$F$273,6,FALSE)=0,"",VLOOKUP(B6,'비품현황표(전체)'!$A$1:$F$273,6,FALSE))</f>
        <v>유사발음</v>
      </c>
      <c r="H6" s="101">
        <v>1</v>
      </c>
    </row>
    <row r="7" spans="1:8" x14ac:dyDescent="0.15">
      <c r="A7" s="104">
        <v>6</v>
      </c>
      <c r="B7" s="217" t="s">
        <v>115</v>
      </c>
      <c r="C7" s="218" t="s">
        <v>403</v>
      </c>
      <c r="D7" s="218" t="s">
        <v>208</v>
      </c>
      <c r="E7" s="218" t="s">
        <v>586</v>
      </c>
      <c r="F7" s="218" t="s">
        <v>750</v>
      </c>
      <c r="G7" s="219" t="str">
        <f>IF(VLOOKUP(B7,'비품현황표(전체)'!$A$1:$F$273,6,FALSE)=0,"",VLOOKUP(B7,'비품현황표(전체)'!$A$1:$F$273,6,FALSE))</f>
        <v/>
      </c>
      <c r="H7" s="219">
        <v>12</v>
      </c>
    </row>
    <row r="8" spans="1:8" x14ac:dyDescent="0.15">
      <c r="A8" s="104">
        <v>7</v>
      </c>
      <c r="B8" s="217" t="s">
        <v>230</v>
      </c>
      <c r="C8" s="218" t="s">
        <v>507</v>
      </c>
      <c r="D8" s="218" t="s">
        <v>231</v>
      </c>
      <c r="E8" s="218" t="s">
        <v>586</v>
      </c>
      <c r="F8" s="218" t="s">
        <v>750</v>
      </c>
      <c r="G8" s="219" t="str">
        <f>IF(VLOOKUP(B8,'비품현황표(전체)'!$A$1:$F$273,6,FALSE)=0,"",VLOOKUP(B8,'비품현황표(전체)'!$A$1:$F$273,6,FALSE))</f>
        <v/>
      </c>
      <c r="H8" s="219">
        <v>12</v>
      </c>
    </row>
    <row r="9" spans="1:8" x14ac:dyDescent="0.15">
      <c r="A9" s="104">
        <v>8</v>
      </c>
      <c r="B9" s="217" t="s">
        <v>91</v>
      </c>
      <c r="C9" s="218" t="s">
        <v>404</v>
      </c>
      <c r="D9" s="218" t="s">
        <v>209</v>
      </c>
      <c r="E9" s="218" t="s">
        <v>586</v>
      </c>
      <c r="F9" s="218" t="s">
        <v>750</v>
      </c>
      <c r="G9" s="219" t="str">
        <f>IF(VLOOKUP(B9,'비품현황표(전체)'!$A$1:$F$273,6,FALSE)=0,"",VLOOKUP(B9,'비품현황표(전체)'!$A$1:$F$273,6,FALSE))</f>
        <v/>
      </c>
      <c r="H9" s="219">
        <v>12</v>
      </c>
    </row>
    <row r="10" spans="1:8" x14ac:dyDescent="0.15">
      <c r="A10" s="104">
        <v>9</v>
      </c>
      <c r="B10" s="217" t="s">
        <v>92</v>
      </c>
      <c r="C10" s="218" t="s">
        <v>405</v>
      </c>
      <c r="D10" s="218" t="s">
        <v>210</v>
      </c>
      <c r="E10" s="218" t="s">
        <v>586</v>
      </c>
      <c r="F10" s="218" t="s">
        <v>750</v>
      </c>
      <c r="G10" s="219" t="str">
        <f>IF(VLOOKUP(B10,'비품현황표(전체)'!$A$1:$F$273,6,FALSE)=0,"",VLOOKUP(B10,'비품현황표(전체)'!$A$1:$F$273,6,FALSE))</f>
        <v/>
      </c>
      <c r="H10" s="219">
        <v>12</v>
      </c>
    </row>
    <row r="11" spans="1:8" x14ac:dyDescent="0.15">
      <c r="A11" s="104">
        <v>10</v>
      </c>
      <c r="B11" s="217" t="s">
        <v>94</v>
      </c>
      <c r="C11" s="218" t="s">
        <v>406</v>
      </c>
      <c r="D11" s="218" t="s">
        <v>211</v>
      </c>
      <c r="E11" s="218" t="s">
        <v>587</v>
      </c>
      <c r="F11" s="218" t="s">
        <v>750</v>
      </c>
      <c r="G11" s="219" t="str">
        <f>IF(VLOOKUP(B11,'비품현황표(전체)'!$A$1:$F$273,6,FALSE)=0,"",VLOOKUP(B11,'비품현황표(전체)'!$A$1:$F$273,6,FALSE))</f>
        <v/>
      </c>
      <c r="H11" s="219">
        <v>12</v>
      </c>
    </row>
    <row r="12" spans="1:8" x14ac:dyDescent="0.15">
      <c r="A12" s="104">
        <v>11</v>
      </c>
      <c r="B12" s="217" t="s">
        <v>114</v>
      </c>
      <c r="C12" s="218" t="s">
        <v>407</v>
      </c>
      <c r="D12" s="218" t="s">
        <v>212</v>
      </c>
      <c r="E12" s="218" t="s">
        <v>586</v>
      </c>
      <c r="F12" s="218" t="s">
        <v>750</v>
      </c>
      <c r="G12" s="219" t="str">
        <f>IF(VLOOKUP(B12,'비품현황표(전체)'!$A$1:$F$273,6,FALSE)=0,"",VLOOKUP(B12,'비품현황표(전체)'!$A$1:$F$273,6,FALSE))</f>
        <v/>
      </c>
      <c r="H12" s="219">
        <v>6</v>
      </c>
    </row>
    <row r="13" spans="1:8" x14ac:dyDescent="0.15">
      <c r="A13" s="104">
        <v>12</v>
      </c>
      <c r="B13" s="129" t="s">
        <v>277</v>
      </c>
      <c r="C13" s="129" t="s">
        <v>510</v>
      </c>
      <c r="D13" s="132" t="s">
        <v>278</v>
      </c>
      <c r="E13" s="129" t="s">
        <v>554</v>
      </c>
      <c r="F13" s="129" t="s">
        <v>682</v>
      </c>
      <c r="G13" s="97" t="str">
        <f>IF(VLOOKUP(B13,'비품현황표(전체)'!$A$1:$F$273,6,FALSE)=0,"",VLOOKUP(B13,'비품현황표(전체)'!$A$1:$F$273,6,FALSE))</f>
        <v/>
      </c>
      <c r="H13" s="97">
        <v>10</v>
      </c>
    </row>
    <row r="14" spans="1:8" x14ac:dyDescent="0.15">
      <c r="A14" s="104">
        <v>13</v>
      </c>
      <c r="B14" s="24" t="s">
        <v>840</v>
      </c>
      <c r="C14" s="2" t="s">
        <v>545</v>
      </c>
      <c r="D14" s="132" t="s">
        <v>334</v>
      </c>
      <c r="E14" s="2" t="s">
        <v>556</v>
      </c>
      <c r="F14" s="129" t="s">
        <v>753</v>
      </c>
      <c r="H14" s="301">
        <v>2</v>
      </c>
    </row>
    <row r="15" spans="1:8" x14ac:dyDescent="0.15">
      <c r="A15" s="104">
        <v>14</v>
      </c>
      <c r="B15" s="129" t="s">
        <v>53</v>
      </c>
      <c r="C15" s="129" t="s">
        <v>420</v>
      </c>
      <c r="D15" s="129" t="s">
        <v>130</v>
      </c>
      <c r="E15" s="129" t="s">
        <v>556</v>
      </c>
      <c r="F15" s="129" t="s">
        <v>647</v>
      </c>
      <c r="G15" s="216" t="str">
        <f>IF(VLOOKUP(B15,'비품현황표(전체)'!$A$1:$F$273,6,FALSE)=0,"",VLOOKUP(B15,'비품현황표(전체)'!$A$1:$F$273,6,FALSE))</f>
        <v/>
      </c>
      <c r="H15" s="97">
        <v>2</v>
      </c>
    </row>
    <row r="16" spans="1:8" x14ac:dyDescent="0.15">
      <c r="A16" s="104">
        <v>15</v>
      </c>
      <c r="B16" s="128" t="s">
        <v>29</v>
      </c>
      <c r="C16" s="129" t="s">
        <v>427</v>
      </c>
      <c r="D16" s="129" t="s">
        <v>171</v>
      </c>
      <c r="E16" s="129" t="s">
        <v>556</v>
      </c>
      <c r="F16" s="129" t="s">
        <v>696</v>
      </c>
      <c r="G16" s="97" t="str">
        <f>IF(VLOOKUP(B16,'비품현황표(전체)'!$A$1:$F$273,6,FALSE)=0,"",VLOOKUP(B16,'비품현황표(전체)'!$A$1:$F$273,6,FALSE))</f>
        <v/>
      </c>
      <c r="H16" s="97">
        <v>2</v>
      </c>
    </row>
    <row r="17" spans="1:8" x14ac:dyDescent="0.15">
      <c r="A17" s="104">
        <v>16</v>
      </c>
      <c r="B17" s="161" t="s">
        <v>368</v>
      </c>
      <c r="C17" s="162" t="s">
        <v>548</v>
      </c>
      <c r="D17" s="162" t="s">
        <v>337</v>
      </c>
      <c r="E17" s="129" t="s">
        <v>597</v>
      </c>
      <c r="F17" s="129" t="s">
        <v>755</v>
      </c>
      <c r="G17" s="97" t="str">
        <f>IF(VLOOKUP(B17,'비품현황표(전체)'!$A$1:$F$273,6,FALSE)=0,"",VLOOKUP(B17,'비품현황표(전체)'!$A$1:$F$273,6,FALSE))</f>
        <v/>
      </c>
      <c r="H17" s="97">
        <v>1</v>
      </c>
    </row>
    <row r="18" spans="1:8" x14ac:dyDescent="0.15">
      <c r="A18" s="104">
        <v>17</v>
      </c>
      <c r="B18" s="24" t="s">
        <v>1291</v>
      </c>
      <c r="C18" s="2"/>
      <c r="D18" s="2" t="s">
        <v>1292</v>
      </c>
      <c r="E18" s="2"/>
      <c r="F18" s="2" t="s">
        <v>634</v>
      </c>
      <c r="G18" s="97"/>
      <c r="H18" s="97">
        <v>3</v>
      </c>
    </row>
    <row r="19" spans="1:8" x14ac:dyDescent="0.15">
      <c r="A19" s="104">
        <v>18</v>
      </c>
      <c r="B19" s="24" t="s">
        <v>345</v>
      </c>
      <c r="C19" s="2" t="s">
        <v>431</v>
      </c>
      <c r="D19" s="2" t="s">
        <v>1130</v>
      </c>
      <c r="E19" s="2" t="s">
        <v>562</v>
      </c>
      <c r="F19" s="2" t="s">
        <v>634</v>
      </c>
      <c r="G19" s="97"/>
      <c r="H19" s="97">
        <v>2</v>
      </c>
    </row>
    <row r="20" spans="1:8" x14ac:dyDescent="0.15">
      <c r="A20" s="104">
        <v>19</v>
      </c>
      <c r="B20" s="24" t="s">
        <v>346</v>
      </c>
      <c r="C20" s="2" t="s">
        <v>432</v>
      </c>
      <c r="D20" s="2" t="s">
        <v>350</v>
      </c>
      <c r="E20" s="2" t="s">
        <v>562</v>
      </c>
      <c r="F20" s="2" t="s">
        <v>634</v>
      </c>
      <c r="G20" s="97"/>
      <c r="H20" s="97">
        <v>5</v>
      </c>
    </row>
    <row r="21" spans="1:8" x14ac:dyDescent="0.15">
      <c r="A21" s="104">
        <v>20</v>
      </c>
      <c r="B21" s="24" t="s">
        <v>348</v>
      </c>
      <c r="C21" s="2" t="s">
        <v>434</v>
      </c>
      <c r="D21" s="2" t="s">
        <v>1184</v>
      </c>
      <c r="E21" s="2" t="s">
        <v>562</v>
      </c>
      <c r="F21" s="2" t="s">
        <v>634</v>
      </c>
      <c r="G21" s="97"/>
      <c r="H21" s="97">
        <v>2</v>
      </c>
    </row>
    <row r="22" spans="1:8" x14ac:dyDescent="0.15">
      <c r="A22" s="104">
        <v>21</v>
      </c>
      <c r="B22" s="128" t="s">
        <v>302</v>
      </c>
      <c r="C22" s="129" t="s">
        <v>527</v>
      </c>
      <c r="D22" s="129" t="s">
        <v>303</v>
      </c>
      <c r="E22" s="129" t="s">
        <v>577</v>
      </c>
      <c r="F22" s="129" t="s">
        <v>706</v>
      </c>
      <c r="G22" s="97" t="str">
        <f>IF(VLOOKUP(B22,'비품현황표(전체)'!$A$1:$F$273,6,FALSE)=0,"",VLOOKUP(B22,'비품현황표(전체)'!$A$1:$F$273,6,FALSE))</f>
        <v/>
      </c>
      <c r="H22" s="97">
        <v>7</v>
      </c>
    </row>
    <row r="23" spans="1:8" x14ac:dyDescent="0.15">
      <c r="A23" s="104">
        <v>22</v>
      </c>
      <c r="B23" s="24" t="s">
        <v>1213</v>
      </c>
      <c r="C23" s="2" t="s">
        <v>862</v>
      </c>
      <c r="D23" s="2" t="s">
        <v>1215</v>
      </c>
      <c r="E23" s="129" t="s">
        <v>562</v>
      </c>
      <c r="F23" s="129" t="s">
        <v>707</v>
      </c>
      <c r="G23" s="97" t="str">
        <f>IF(VLOOKUP(B23,'비품현황표(전체)'!$A$1:$F$273,6,FALSE)=0,"",VLOOKUP(B23,'비품현황표(전체)'!$A$1:$F$273,6,FALSE))</f>
        <v/>
      </c>
      <c r="H23" s="97">
        <v>20</v>
      </c>
    </row>
    <row r="24" spans="1:8" x14ac:dyDescent="0.15">
      <c r="A24" s="104">
        <v>23</v>
      </c>
      <c r="B24" s="24" t="s">
        <v>1220</v>
      </c>
      <c r="C24" s="2" t="s">
        <v>863</v>
      </c>
      <c r="D24" s="2" t="s">
        <v>1216</v>
      </c>
      <c r="E24" s="129" t="s">
        <v>562</v>
      </c>
      <c r="F24" s="129" t="s">
        <v>707</v>
      </c>
      <c r="G24" s="97" t="str">
        <f>IF(VLOOKUP(B24,'비품현황표(전체)'!$A$1:$F$273,6,FALSE)=0,"",VLOOKUP(B24,'비품현황표(전체)'!$A$1:$F$273,6,FALSE))</f>
        <v/>
      </c>
      <c r="H24" s="97">
        <v>13</v>
      </c>
    </row>
    <row r="25" spans="1:8" x14ac:dyDescent="0.15">
      <c r="A25" s="104">
        <v>24</v>
      </c>
      <c r="B25" s="24" t="s">
        <v>1209</v>
      </c>
      <c r="C25" s="2" t="s">
        <v>864</v>
      </c>
      <c r="D25" s="2" t="s">
        <v>1217</v>
      </c>
      <c r="E25" s="129" t="s">
        <v>562</v>
      </c>
      <c r="F25" s="129" t="s">
        <v>707</v>
      </c>
      <c r="G25" s="97" t="str">
        <f>IF(VLOOKUP(B25,'비품현황표(전체)'!$A$1:$F$273,6,FALSE)=0,"",VLOOKUP(B25,'비품현황표(전체)'!$A$1:$F$273,6,FALSE))</f>
        <v/>
      </c>
      <c r="H25" s="97">
        <v>13</v>
      </c>
    </row>
    <row r="26" spans="1:8" x14ac:dyDescent="0.15">
      <c r="A26" s="104">
        <v>25</v>
      </c>
      <c r="B26" s="24" t="s">
        <v>1207</v>
      </c>
      <c r="C26" s="2" t="s">
        <v>801</v>
      </c>
      <c r="D26" s="2" t="s">
        <v>1218</v>
      </c>
      <c r="E26" s="129" t="s">
        <v>562</v>
      </c>
      <c r="F26" s="129" t="s">
        <v>707</v>
      </c>
      <c r="G26" s="97" t="str">
        <f>IF(VLOOKUP(B26,'비품현황표(전체)'!$A$1:$F$273,6,FALSE)=0,"",VLOOKUP(B26,'비품현황표(전체)'!$A$1:$F$273,6,FALSE))</f>
        <v/>
      </c>
      <c r="H26" s="97">
        <v>13</v>
      </c>
    </row>
    <row r="27" spans="1:8" x14ac:dyDescent="0.15">
      <c r="A27" s="104">
        <v>26</v>
      </c>
      <c r="B27" s="25" t="s">
        <v>1205</v>
      </c>
      <c r="C27" s="25" t="s">
        <v>444</v>
      </c>
      <c r="D27" s="2" t="s">
        <v>1219</v>
      </c>
      <c r="E27" s="129" t="s">
        <v>562</v>
      </c>
      <c r="F27" s="129" t="s">
        <v>707</v>
      </c>
      <c r="G27" s="97" t="str">
        <f>IF(VLOOKUP(B27,'비품현황표(전체)'!$A$1:$F$273,6,FALSE)=0,"",VLOOKUP(B27,'비품현황표(전체)'!$A$1:$F$273,6,FALSE))</f>
        <v/>
      </c>
      <c r="H27" s="97">
        <v>10</v>
      </c>
    </row>
    <row r="28" spans="1:8" x14ac:dyDescent="0.15">
      <c r="A28" s="104">
        <v>27</v>
      </c>
      <c r="B28" s="129" t="s">
        <v>24</v>
      </c>
      <c r="C28" s="129" t="s">
        <v>448</v>
      </c>
      <c r="D28" s="129" t="s">
        <v>138</v>
      </c>
      <c r="E28" s="129" t="s">
        <v>561</v>
      </c>
      <c r="F28" s="129" t="s">
        <v>710</v>
      </c>
      <c r="G28" s="97" t="str">
        <f>IF(VLOOKUP(B28,'비품현황표(전체)'!$A$1:$F$273,6,FALSE)=0,"",VLOOKUP(B28,'비품현황표(전체)'!$A$1:$F$273,6,FALSE))</f>
        <v/>
      </c>
      <c r="H28" s="97">
        <v>3</v>
      </c>
    </row>
    <row r="29" spans="1:8" x14ac:dyDescent="0.15">
      <c r="A29" s="104">
        <v>28</v>
      </c>
      <c r="B29" s="25" t="s">
        <v>1267</v>
      </c>
      <c r="C29" s="2"/>
      <c r="D29" s="2" t="s">
        <v>1268</v>
      </c>
      <c r="E29" s="2"/>
      <c r="F29" s="2" t="s">
        <v>1269</v>
      </c>
      <c r="G29" s="97"/>
      <c r="H29" s="97">
        <v>3</v>
      </c>
    </row>
    <row r="30" spans="1:8" x14ac:dyDescent="0.15">
      <c r="A30" s="104">
        <v>29</v>
      </c>
      <c r="B30" s="129" t="s">
        <v>1011</v>
      </c>
      <c r="C30" s="129" t="s">
        <v>487</v>
      </c>
      <c r="D30" s="129" t="s">
        <v>1041</v>
      </c>
      <c r="E30" s="129" t="s">
        <v>559</v>
      </c>
      <c r="F30" s="129" t="s">
        <v>1015</v>
      </c>
      <c r="G30" s="97" t="str">
        <f>IF(VLOOKUP(B30,'비품현황표(전체)'!$A$1:$F$273,6,FALSE)=0,"",VLOOKUP(B30,'비품현황표(전체)'!$A$1:$F$273,6,FALSE))</f>
        <v/>
      </c>
      <c r="H30" s="97">
        <v>20</v>
      </c>
    </row>
    <row r="31" spans="1:8" x14ac:dyDescent="0.15">
      <c r="A31" s="104">
        <v>30</v>
      </c>
      <c r="B31" s="95" t="s">
        <v>234</v>
      </c>
      <c r="C31" s="96" t="s">
        <v>452</v>
      </c>
      <c r="D31" s="96" t="s">
        <v>136</v>
      </c>
      <c r="E31" s="96" t="s">
        <v>560</v>
      </c>
      <c r="F31" s="96" t="s">
        <v>640</v>
      </c>
      <c r="G31" s="97" t="str">
        <f>IF(VLOOKUP(B31,'비품현황표(전체)'!$A$1:$F$273,6,FALSE)=0,"",VLOOKUP(B31,'비품현황표(전체)'!$A$1:$F$273,6,FALSE))</f>
        <v/>
      </c>
      <c r="H31" s="98">
        <v>5</v>
      </c>
    </row>
    <row r="32" spans="1:8" x14ac:dyDescent="0.15">
      <c r="A32" s="104">
        <v>31</v>
      </c>
      <c r="B32" s="99" t="s">
        <v>843</v>
      </c>
      <c r="C32" s="100" t="s">
        <v>457</v>
      </c>
      <c r="D32" s="100" t="s">
        <v>220</v>
      </c>
      <c r="E32" s="100" t="s">
        <v>588</v>
      </c>
      <c r="F32" s="100" t="s">
        <v>719</v>
      </c>
      <c r="G32" s="97" t="str">
        <f>IF(VLOOKUP(B32,'비품현황표(전체)'!$A$1:$F$273,6,FALSE)=0,"",VLOOKUP(B32,'비품현황표(전체)'!$A$1:$F$273,6,FALSE))</f>
        <v>유사모양</v>
      </c>
      <c r="H32" s="101">
        <v>2</v>
      </c>
    </row>
    <row r="33" spans="1:8" x14ac:dyDescent="0.15">
      <c r="A33" s="104">
        <v>32</v>
      </c>
      <c r="B33" s="99" t="s">
        <v>32</v>
      </c>
      <c r="C33" s="100" t="s">
        <v>458</v>
      </c>
      <c r="D33" s="100" t="s">
        <v>221</v>
      </c>
      <c r="E33" s="100" t="s">
        <v>588</v>
      </c>
      <c r="F33" s="100" t="s">
        <v>719</v>
      </c>
      <c r="G33" s="97" t="str">
        <f>IF(VLOOKUP(B33,'비품현황표(전체)'!$A$1:$F$273,6,FALSE)=0,"",VLOOKUP(B33,'비품현황표(전체)'!$A$1:$F$273,6,FALSE))</f>
        <v>유사모양</v>
      </c>
      <c r="H33" s="101">
        <v>2</v>
      </c>
    </row>
    <row r="34" spans="1:8" x14ac:dyDescent="0.15">
      <c r="A34" s="104">
        <v>33</v>
      </c>
      <c r="B34" s="95" t="s">
        <v>27</v>
      </c>
      <c r="C34" s="102" t="s">
        <v>475</v>
      </c>
      <c r="D34" s="102" t="s">
        <v>135</v>
      </c>
      <c r="E34" s="102" t="s">
        <v>556</v>
      </c>
      <c r="F34" s="102" t="s">
        <v>639</v>
      </c>
      <c r="G34" s="97" t="str">
        <f>IF(VLOOKUP(B34,'비품현황표(전체)'!$A$1:$F$273,6,FALSE)=0,"",VLOOKUP(B34,'비품현황표(전체)'!$A$1:$F$273,6,FALSE))</f>
        <v/>
      </c>
      <c r="H34" s="98">
        <v>10</v>
      </c>
    </row>
    <row r="35" spans="1:8" x14ac:dyDescent="0.15">
      <c r="A35" s="104">
        <v>34</v>
      </c>
      <c r="B35" s="107" t="s">
        <v>45</v>
      </c>
      <c r="C35" s="92" t="s">
        <v>481</v>
      </c>
      <c r="D35" s="92" t="s">
        <v>180</v>
      </c>
      <c r="E35" s="92" t="s">
        <v>559</v>
      </c>
      <c r="F35" s="92" t="s">
        <v>742</v>
      </c>
      <c r="G35" s="139" t="str">
        <f>IF(VLOOKUP(B35,'비품현황표(전체)'!$A$1:$F$273,6,FALSE)=0,"",VLOOKUP(B35,'비품현황표(전체)'!$A$1:$F$273,6,FALSE))</f>
        <v/>
      </c>
      <c r="H35" s="109">
        <v>20</v>
      </c>
    </row>
    <row r="36" spans="1:8" x14ac:dyDescent="0.15">
      <c r="A36" s="81"/>
      <c r="B36" s="81"/>
      <c r="C36" s="81"/>
      <c r="D36" s="93" t="s">
        <v>804</v>
      </c>
      <c r="E36" s="81"/>
      <c r="F36" s="106"/>
      <c r="G36" s="81"/>
      <c r="H36" s="110">
        <v>34</v>
      </c>
    </row>
  </sheetData>
  <sortState ref="A2:H39">
    <sortCondition ref="D38"/>
  </sortState>
  <phoneticPr fontId="1" type="noConversion"/>
  <conditionalFormatting sqref="G3:G13 G15:G35">
    <cfRule type="containsText" dxfId="83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82" priority="12" operator="containsText" text="혼돈주의약품, 유사모양, 유사발음">
      <formula>NOT(ISERROR(SEARCH("혼돈주의약품, 유사모양, 유사발음",G3)))</formula>
    </cfRule>
  </conditionalFormatting>
  <conditionalFormatting sqref="B20">
    <cfRule type="duplicateValues" dxfId="81" priority="9"/>
  </conditionalFormatting>
  <conditionalFormatting sqref="B19">
    <cfRule type="duplicateValues" dxfId="80" priority="8"/>
  </conditionalFormatting>
  <conditionalFormatting sqref="B14">
    <cfRule type="duplicateValues" dxfId="79" priority="7"/>
  </conditionalFormatting>
  <conditionalFormatting sqref="B21">
    <cfRule type="duplicateValues" dxfId="78" priority="6"/>
  </conditionalFormatting>
  <conditionalFormatting sqref="B23:B27">
    <cfRule type="duplicateValues" dxfId="77" priority="4"/>
  </conditionalFormatting>
  <conditionalFormatting sqref="B29">
    <cfRule type="duplicateValues" dxfId="76" priority="3"/>
  </conditionalFormatting>
  <conditionalFormatting sqref="B2">
    <cfRule type="duplicateValues" dxfId="75" priority="2"/>
  </conditionalFormatting>
  <conditionalFormatting sqref="B18">
    <cfRule type="duplicateValues" dxfId="74" priority="1"/>
  </conditionalFormatting>
  <pageMargins left="0.7" right="0.7" top="0.75" bottom="0.75" header="0.3" footer="0.3"/>
  <pageSetup paperSize="9" orientation="portrait" r:id="rId1"/>
  <headerFooter>
    <oddHeader>&amp;C&amp;"돋움,굵게"ADR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view="pageLayout" zoomScaleNormal="100" workbookViewId="0">
      <selection activeCell="F16" sqref="F16"/>
    </sheetView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8.21875" customWidth="1"/>
  </cols>
  <sheetData>
    <row r="1" spans="1:8" x14ac:dyDescent="0.15">
      <c r="A1" s="104" t="s">
        <v>627</v>
      </c>
      <c r="B1" s="103" t="s">
        <v>48</v>
      </c>
      <c r="C1" s="103" t="s">
        <v>49</v>
      </c>
      <c r="D1" s="103" t="s">
        <v>267</v>
      </c>
      <c r="E1" s="103" t="s">
        <v>50</v>
      </c>
      <c r="F1" s="103" t="s">
        <v>632</v>
      </c>
      <c r="G1" s="103" t="s">
        <v>359</v>
      </c>
      <c r="H1" s="104" t="s">
        <v>1279</v>
      </c>
    </row>
    <row r="2" spans="1:8" x14ac:dyDescent="0.15">
      <c r="A2" s="122">
        <v>1</v>
      </c>
      <c r="B2" s="122" t="s">
        <v>791</v>
      </c>
      <c r="C2" s="118" t="s">
        <v>792</v>
      </c>
      <c r="D2" s="118" t="s">
        <v>793</v>
      </c>
      <c r="E2" s="118" t="s">
        <v>794</v>
      </c>
      <c r="F2" s="118" t="s">
        <v>795</v>
      </c>
      <c r="G2" s="117"/>
      <c r="H2" s="119">
        <v>2</v>
      </c>
    </row>
    <row r="3" spans="1:8" x14ac:dyDescent="0.15">
      <c r="A3" s="95">
        <v>2</v>
      </c>
      <c r="B3" s="95" t="s">
        <v>76</v>
      </c>
      <c r="C3" s="96" t="s">
        <v>1086</v>
      </c>
      <c r="D3" s="96" t="s">
        <v>1087</v>
      </c>
      <c r="E3" s="96" t="s">
        <v>554</v>
      </c>
      <c r="F3" s="96" t="s">
        <v>648</v>
      </c>
      <c r="G3" s="97" t="str">
        <f>IF(VLOOKUP(B3,'비품현황표(전체)'!$A$1:$F$273,6,FALSE)=0,"",VLOOKUP(B3,'비품현황표(전체)'!$A$1:$F$273,6,FALSE))</f>
        <v/>
      </c>
      <c r="H3" s="98">
        <v>4</v>
      </c>
    </row>
    <row r="4" spans="1:8" x14ac:dyDescent="0.15">
      <c r="A4" s="95">
        <v>3</v>
      </c>
      <c r="B4" s="95" t="s">
        <v>1280</v>
      </c>
      <c r="C4" s="96" t="s">
        <v>497</v>
      </c>
      <c r="D4" s="96" t="s">
        <v>497</v>
      </c>
      <c r="E4" s="96" t="s">
        <v>554</v>
      </c>
      <c r="F4" s="96" t="s">
        <v>648</v>
      </c>
      <c r="G4" s="97" t="str">
        <f>IF(VLOOKUP(B4,'비품현황표(전체)'!$A$1:$F$273,6,FALSE)=0,"",VLOOKUP(B4,'비품현황표(전체)'!$A$1:$F$273,6,FALSE))</f>
        <v/>
      </c>
      <c r="H4" s="98">
        <v>1</v>
      </c>
    </row>
    <row r="5" spans="1:8" x14ac:dyDescent="0.15">
      <c r="A5" s="95">
        <v>4</v>
      </c>
      <c r="B5" s="95" t="s">
        <v>847</v>
      </c>
      <c r="C5" s="96" t="s">
        <v>848</v>
      </c>
      <c r="D5" s="96" t="s">
        <v>849</v>
      </c>
      <c r="E5" s="96" t="s">
        <v>850</v>
      </c>
      <c r="F5" s="96" t="s">
        <v>851</v>
      </c>
      <c r="G5" s="97" t="str">
        <f>IF(VLOOKUP(B5,'비품현황표(전체)'!$A$1:$F$273,6,FALSE)=0,"",VLOOKUP(B5,'비품현황표(전체)'!$A$1:$F$273,6,FALSE))</f>
        <v/>
      </c>
      <c r="H5" s="98">
        <v>2</v>
      </c>
    </row>
    <row r="6" spans="1:8" x14ac:dyDescent="0.15">
      <c r="A6" s="95">
        <v>5</v>
      </c>
      <c r="B6" s="95" t="s">
        <v>228</v>
      </c>
      <c r="C6" s="96" t="s">
        <v>501</v>
      </c>
      <c r="D6" s="96" t="s">
        <v>229</v>
      </c>
      <c r="E6" s="96" t="s">
        <v>557</v>
      </c>
      <c r="F6" s="96" t="s">
        <v>977</v>
      </c>
      <c r="G6" s="97" t="str">
        <f>IF(VLOOKUP(B6,'비품현황표(전체)'!$A$1:$F$273,6,FALSE)=0,"",VLOOKUP(B6,'비품현황표(전체)'!$A$1:$F$273,6,FALSE))</f>
        <v/>
      </c>
      <c r="H6" s="98">
        <v>8</v>
      </c>
    </row>
    <row r="7" spans="1:8" x14ac:dyDescent="0.15">
      <c r="A7" s="95">
        <v>6</v>
      </c>
      <c r="B7" s="95" t="s">
        <v>976</v>
      </c>
      <c r="C7" s="96"/>
      <c r="D7" s="96" t="s">
        <v>972</v>
      </c>
      <c r="E7" s="96"/>
      <c r="F7" s="145" t="s">
        <v>978</v>
      </c>
      <c r="G7" s="97" t="str">
        <f>IF(VLOOKUP(B7,'비품현황표(전체)'!$A$1:$F$273,6,FALSE)=0,"",VLOOKUP(B7,'비품현황표(전체)'!$A$1:$F$273,6,FALSE))</f>
        <v/>
      </c>
      <c r="H7" s="98">
        <v>4</v>
      </c>
    </row>
    <row r="8" spans="1:8" x14ac:dyDescent="0.15">
      <c r="A8" s="95">
        <v>7</v>
      </c>
      <c r="B8" s="99" t="s">
        <v>11</v>
      </c>
      <c r="C8" s="100" t="s">
        <v>410</v>
      </c>
      <c r="D8" s="100" t="s">
        <v>189</v>
      </c>
      <c r="E8" s="100" t="s">
        <v>554</v>
      </c>
      <c r="F8" s="100" t="s">
        <v>979</v>
      </c>
      <c r="G8" s="97" t="str">
        <f>IF(VLOOKUP(B8,'비품현황표(전체)'!$A$1:$F$273,6,FALSE)=0,"",VLOOKUP(B8,'비품현황표(전체)'!$A$1:$F$273,6,FALSE))</f>
        <v>유사발음</v>
      </c>
      <c r="H8" s="101">
        <v>2</v>
      </c>
    </row>
    <row r="9" spans="1:8" x14ac:dyDescent="0.15">
      <c r="A9" s="107">
        <v>8</v>
      </c>
      <c r="B9" s="107" t="s">
        <v>974</v>
      </c>
      <c r="C9" s="92"/>
      <c r="D9" s="92" t="s">
        <v>973</v>
      </c>
      <c r="E9" s="92"/>
      <c r="F9" s="92" t="s">
        <v>975</v>
      </c>
      <c r="G9" s="139" t="str">
        <f>IF(VLOOKUP(B9,'비품현황표(전체)'!$A$1:$F$273,6,FALSE)=0,"",VLOOKUP(B9,'비품현황표(전체)'!$A$1:$F$273,6,FALSE))</f>
        <v/>
      </c>
      <c r="H9" s="109">
        <v>2</v>
      </c>
    </row>
    <row r="10" spans="1:8" x14ac:dyDescent="0.15">
      <c r="A10" s="81"/>
      <c r="B10" s="81"/>
      <c r="C10" s="81"/>
      <c r="D10" s="93" t="s">
        <v>371</v>
      </c>
      <c r="E10" s="81"/>
      <c r="F10" s="81"/>
      <c r="G10" s="81"/>
      <c r="H10" s="163">
        <v>8</v>
      </c>
    </row>
  </sheetData>
  <phoneticPr fontId="1" type="noConversion"/>
  <conditionalFormatting sqref="G4:G9">
    <cfRule type="containsText" dxfId="73" priority="8" operator="containsText" text="유사">
      <formula>NOT(ISERROR(SEARCH("유사",G4)))</formula>
    </cfRule>
    <cfRule type="containsText" priority="9" operator="containsText" text="유사 용량">
      <formula>NOT(ISERROR(SEARCH("유사 용량",G4)))</formula>
    </cfRule>
    <cfRule type="containsText" dxfId="72" priority="10" operator="containsText" text="혼돈주의약품, 유사모양, 유사발음">
      <formula>NOT(ISERROR(SEARCH("혼돈주의약품, 유사모양, 유사발음",G4)))</formula>
    </cfRule>
  </conditionalFormatting>
  <conditionalFormatting sqref="G2">
    <cfRule type="containsText" dxfId="71" priority="4" operator="containsText" text="유사">
      <formula>NOT(ISERROR(SEARCH("유사",G2)))</formula>
    </cfRule>
    <cfRule type="containsText" priority="5" operator="containsText" text="유사 용량">
      <formula>NOT(ISERROR(SEARCH("유사 용량",G2)))</formula>
    </cfRule>
    <cfRule type="containsText" dxfId="70" priority="6" operator="containsText" text="혼돈주의약품, 유사모양, 유사발음">
      <formula>NOT(ISERROR(SEARCH("혼돈주의약품, 유사모양, 유사발음",G2)))</formula>
    </cfRule>
  </conditionalFormatting>
  <conditionalFormatting sqref="G3">
    <cfRule type="containsText" dxfId="69" priority="1" operator="containsText" text="유사">
      <formula>NOT(ISERROR(SEARCH("유사",G3)))</formula>
    </cfRule>
    <cfRule type="containsText" priority="2" operator="containsText" text="유사 용량">
      <formula>NOT(ISERROR(SEARCH("유사 용량",G3)))</formula>
    </cfRule>
    <cfRule type="containsText" dxfId="68" priority="3" operator="containsText" text="혼돈주의약품, 유사모양, 유사발음">
      <formula>NOT(ISERROR(SEARCH("혼돈주의약품, 유사모양, 유사발음",G3)))</formula>
    </cfRule>
  </conditionalFormatting>
  <pageMargins left="0.7" right="0.7" top="0.75" bottom="0.75" header="0.3" footer="0.3"/>
  <pageSetup paperSize="9" orientation="portrait" r:id="rId1"/>
  <headerFooter>
    <oddHeader>&amp;C&amp;"돋움,굵게"DSR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view="pageLayout" zoomScaleNormal="100" workbookViewId="0">
      <selection activeCell="H1" sqref="H1"/>
    </sheetView>
  </sheetViews>
  <sheetFormatPr defaultRowHeight="13.5" x14ac:dyDescent="0.15"/>
  <cols>
    <col min="1" max="1" width="4" customWidth="1"/>
    <col min="2" max="2" width="7.21875" customWidth="1"/>
    <col min="3" max="3" width="7.77734375" hidden="1" customWidth="1"/>
    <col min="4" max="4" width="21.21875" customWidth="1"/>
    <col min="5" max="5" width="4.109375" hidden="1" customWidth="1"/>
    <col min="6" max="6" width="24.77734375" customWidth="1"/>
    <col min="7" max="8" width="7.5546875" customWidth="1"/>
  </cols>
  <sheetData>
    <row r="1" spans="1:8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764</v>
      </c>
      <c r="G1" s="103" t="s">
        <v>359</v>
      </c>
      <c r="H1" s="104" t="s">
        <v>1022</v>
      </c>
    </row>
    <row r="2" spans="1:8" x14ac:dyDescent="0.15">
      <c r="A2" s="122">
        <v>1</v>
      </c>
      <c r="B2" s="114" t="s">
        <v>146</v>
      </c>
      <c r="C2" s="115" t="s">
        <v>375</v>
      </c>
      <c r="D2" s="115" t="s">
        <v>222</v>
      </c>
      <c r="E2" s="115" t="s">
        <v>566</v>
      </c>
      <c r="F2" s="115" t="str">
        <f>VLOOKUP(B2,'비품현황표(전체)'!$A1:$AT274,5,FALSE)</f>
        <v>밀봉용기, 30℃이하에서 동결을 피하여 보관</v>
      </c>
      <c r="G2" s="116" t="str">
        <f>IF(VLOOKUP(B2,'비품현황표(전체)'!$A$1:$F$273,6,FALSE)=0,"",VLOOKUP(B2,'비품현황표(전체)'!$A$1:$F$273,6,FALSE))</f>
        <v>용량고주의</v>
      </c>
      <c r="H2" s="116">
        <v>0</v>
      </c>
    </row>
    <row r="3" spans="1:8" x14ac:dyDescent="0.15">
      <c r="A3" s="95">
        <v>2</v>
      </c>
      <c r="B3" s="217" t="s">
        <v>227</v>
      </c>
      <c r="C3" s="218" t="s">
        <v>500</v>
      </c>
      <c r="D3" s="218" t="s">
        <v>12</v>
      </c>
      <c r="E3" s="218" t="s">
        <v>580</v>
      </c>
      <c r="F3" s="218" t="e">
        <f>VLOOKUP(B3,'비품현황표(전체)'!$A6:$AT275,5,FALSE)</f>
        <v>#N/A</v>
      </c>
      <c r="G3" s="219" t="e">
        <f>IF(VLOOKUP(B3,'비품현황표(전체)'!$A$1:$F$273,6,FALSE)=0,"",VLOOKUP(B3,'비품현황표(전체)'!$A$1:$F$273,6,FALSE))</f>
        <v>#N/A</v>
      </c>
      <c r="H3" s="116">
        <v>0</v>
      </c>
    </row>
    <row r="4" spans="1:8" x14ac:dyDescent="0.15">
      <c r="A4" s="95">
        <v>3</v>
      </c>
      <c r="B4" s="128" t="s">
        <v>14</v>
      </c>
      <c r="C4" s="129" t="s">
        <v>416</v>
      </c>
      <c r="D4" s="129" t="s">
        <v>191</v>
      </c>
      <c r="E4" s="129" t="s">
        <v>554</v>
      </c>
      <c r="F4" s="129" t="str">
        <f>VLOOKUP(B4,'비품현황표(전체)'!$A7:$AT276,5,FALSE)</f>
        <v>밀봉용기, 실온보존</v>
      </c>
      <c r="G4" s="97" t="str">
        <f>IF(VLOOKUP(B4,'비품현황표(전체)'!$A$1:$F$273,6,FALSE)=0,"",VLOOKUP(B4,'비품현황표(전체)'!$A$1:$F$273,6,FALSE))</f>
        <v>고위험의약품</v>
      </c>
      <c r="H4" s="116">
        <v>0</v>
      </c>
    </row>
    <row r="5" spans="1:8" x14ac:dyDescent="0.15">
      <c r="A5" s="95">
        <v>4</v>
      </c>
      <c r="B5" s="95" t="s">
        <v>307</v>
      </c>
      <c r="C5" s="96" t="s">
        <v>518</v>
      </c>
      <c r="D5" s="96" t="s">
        <v>308</v>
      </c>
      <c r="E5" s="96" t="s">
        <v>556</v>
      </c>
      <c r="F5" s="96" t="e">
        <f>VLOOKUP(B5,'비품현황표(전체)'!$A8:$AT277,5,FALSE)</f>
        <v>#N/A</v>
      </c>
      <c r="G5" s="97" t="e">
        <f>IF(VLOOKUP(B5,'비품현황표(전체)'!$A$1:$F$273,6,FALSE)=0,"",VLOOKUP(B5,'비품현황표(전체)'!$A$1:$F$273,6,FALSE))</f>
        <v>#N/A</v>
      </c>
      <c r="H5" s="116">
        <v>0</v>
      </c>
    </row>
    <row r="6" spans="1:8" x14ac:dyDescent="0.15">
      <c r="A6" s="95">
        <v>5</v>
      </c>
      <c r="B6" s="99" t="s">
        <v>63</v>
      </c>
      <c r="C6" s="100" t="s">
        <v>422</v>
      </c>
      <c r="D6" s="100" t="s">
        <v>169</v>
      </c>
      <c r="E6" s="100" t="s">
        <v>556</v>
      </c>
      <c r="F6" s="100" t="str">
        <f>VLOOKUP(B6,'비품현황표(전체)'!$A11:$AT278,5,FALSE)</f>
        <v>밀봉용기 실온보관 차광.</v>
      </c>
      <c r="G6" s="97" t="str">
        <f>IF(VLOOKUP(B6,'비품현황표(전체)'!$A$1:$F$273,6,FALSE)=0,"",VLOOKUP(B6,'비품현황표(전체)'!$A$1:$F$273,6,FALSE))</f>
        <v>유사모양</v>
      </c>
      <c r="H6" s="116">
        <v>0</v>
      </c>
    </row>
    <row r="7" spans="1:8" x14ac:dyDescent="0.15">
      <c r="A7" s="95">
        <v>6</v>
      </c>
      <c r="B7" s="96" t="s">
        <v>18</v>
      </c>
      <c r="C7" s="96" t="s">
        <v>425</v>
      </c>
      <c r="D7" s="96" t="s">
        <v>196</v>
      </c>
      <c r="E7" s="96" t="s">
        <v>554</v>
      </c>
      <c r="F7" s="96" t="e">
        <f>VLOOKUP(B7,'비품현황표(전체)'!$A13:$AT279,5,FALSE)</f>
        <v>#N/A</v>
      </c>
      <c r="G7" s="97" t="e">
        <f>IF(VLOOKUP(B7,'비품현황표(전체)'!$A$1:$F$273,6,FALSE)=0,"",VLOOKUP(B7,'비품현황표(전체)'!$A$1:$F$273,6,FALSE))</f>
        <v>#N/A</v>
      </c>
      <c r="H7" s="116">
        <v>0</v>
      </c>
    </row>
    <row r="8" spans="1:8" x14ac:dyDescent="0.15">
      <c r="A8" s="95">
        <v>7</v>
      </c>
      <c r="B8" s="95" t="s">
        <v>52</v>
      </c>
      <c r="C8" s="96" t="s">
        <v>428</v>
      </c>
      <c r="D8" s="96" t="s">
        <v>197</v>
      </c>
      <c r="E8" s="96" t="s">
        <v>556</v>
      </c>
      <c r="F8" s="96" t="str">
        <f>VLOOKUP(B8,'비품현황표(전체)'!$A13:$AT280,5,FALSE)</f>
        <v>밀봉용기, 실온(1∼30℃)보관</v>
      </c>
      <c r="G8" s="97" t="str">
        <f>IF(VLOOKUP(B8,'비품현황표(전체)'!$A$1:$F$273,6,FALSE)=0,"",VLOOKUP(B8,'비품현황표(전체)'!$A$1:$F$273,6,FALSE))</f>
        <v/>
      </c>
      <c r="H8" s="116">
        <v>0</v>
      </c>
    </row>
    <row r="9" spans="1:8" x14ac:dyDescent="0.15">
      <c r="A9" s="95">
        <v>8</v>
      </c>
      <c r="B9" s="142" t="s">
        <v>368</v>
      </c>
      <c r="C9" s="143" t="s">
        <v>548</v>
      </c>
      <c r="D9" s="143" t="s">
        <v>337</v>
      </c>
      <c r="E9" s="96" t="s">
        <v>597</v>
      </c>
      <c r="F9" s="96" t="str">
        <f>VLOOKUP(B9,'비품현황표(전체)'!$A13:$AT281,5,FALSE)</f>
        <v>밀봉용기</v>
      </c>
      <c r="G9" s="97" t="str">
        <f>IF(VLOOKUP(B9,'비품현황표(전체)'!$A$1:$F$273,6,FALSE)=0,"",VLOOKUP(B9,'비품현황표(전체)'!$A$1:$F$273,6,FALSE))</f>
        <v/>
      </c>
      <c r="H9" s="116">
        <v>0</v>
      </c>
    </row>
    <row r="10" spans="1:8" x14ac:dyDescent="0.15">
      <c r="A10" s="95">
        <v>9</v>
      </c>
      <c r="B10" s="128" t="s">
        <v>37</v>
      </c>
      <c r="C10" s="129" t="s">
        <v>456</v>
      </c>
      <c r="D10" s="129" t="s">
        <v>202</v>
      </c>
      <c r="E10" s="129" t="s">
        <v>554</v>
      </c>
      <c r="F10" s="129" t="str">
        <f>VLOOKUP(B10,'비품현황표(전체)'!$A13:$AT282,5,FALSE)</f>
        <v>차광 밀봉용기(15-30℃ 보관)</v>
      </c>
      <c r="G10" s="97" t="str">
        <f>IF(VLOOKUP(B10,'비품현황표(전체)'!$A$1:$F$273,6,FALSE)=0,"",VLOOKUP(B10,'비품현황표(전체)'!$A$1:$F$273,6,FALSE))</f>
        <v/>
      </c>
      <c r="H10" s="116">
        <v>0</v>
      </c>
    </row>
    <row r="11" spans="1:8" x14ac:dyDescent="0.15">
      <c r="A11" s="95">
        <v>10</v>
      </c>
      <c r="B11" s="95" t="s">
        <v>311</v>
      </c>
      <c r="C11" s="96" t="s">
        <v>531</v>
      </c>
      <c r="D11" s="96" t="s">
        <v>312</v>
      </c>
      <c r="E11" s="96" t="s">
        <v>588</v>
      </c>
      <c r="F11" s="96" t="e">
        <f>VLOOKUP(B11,'비품현황표(전체)'!$A13:$AT283,5,FALSE)</f>
        <v>#N/A</v>
      </c>
      <c r="G11" s="97" t="e">
        <f>IF(VLOOKUP(B11,'비품현황표(전체)'!$A$1:$F$273,6,FALSE)=0,"",VLOOKUP(B11,'비품현황표(전체)'!$A$1:$F$273,6,FALSE))</f>
        <v>#N/A</v>
      </c>
      <c r="H11" s="116">
        <v>0</v>
      </c>
    </row>
    <row r="12" spans="1:8" x14ac:dyDescent="0.15">
      <c r="A12" s="95">
        <v>11</v>
      </c>
      <c r="B12" s="95" t="s">
        <v>31</v>
      </c>
      <c r="C12" s="112" t="s">
        <v>460</v>
      </c>
      <c r="D12" s="112" t="s">
        <v>203</v>
      </c>
      <c r="E12" s="96" t="s">
        <v>554</v>
      </c>
      <c r="F12" s="96" t="e">
        <f>VLOOKUP(B12,'비품현황표(전체)'!$A13:$AT284,5,FALSE)</f>
        <v>#N/A</v>
      </c>
      <c r="G12" s="97" t="e">
        <f>IF(VLOOKUP(B12,'비품현황표(전체)'!$A$1:$F$273,6,FALSE)=0,"",VLOOKUP(B12,'비품현황표(전체)'!$A$1:$F$273,6,FALSE))</f>
        <v>#N/A</v>
      </c>
      <c r="H12" s="116">
        <v>0</v>
      </c>
    </row>
    <row r="13" spans="1:8" x14ac:dyDescent="0.15">
      <c r="A13" s="107">
        <v>12</v>
      </c>
      <c r="B13" s="107" t="s">
        <v>551</v>
      </c>
      <c r="C13" s="92" t="s">
        <v>552</v>
      </c>
      <c r="D13" s="92" t="s">
        <v>204</v>
      </c>
      <c r="E13" s="92" t="s">
        <v>556</v>
      </c>
      <c r="F13" s="92" t="str">
        <f>VLOOKUP(B13,'비품현황표(전체)'!$A14:$AT285,5,FALSE)</f>
        <v>밀봉용기, 실온보관(1~30℃)</v>
      </c>
      <c r="G13" s="139" t="str">
        <f>IF(VLOOKUP(B13,'비품현황표(전체)'!$A$1:$F$273,6,FALSE)=0,"",VLOOKUP(B13,'비품현황표(전체)'!$A$1:$F$273,6,FALSE))</f>
        <v/>
      </c>
      <c r="H13" s="116">
        <v>0</v>
      </c>
    </row>
    <row r="14" spans="1:8" x14ac:dyDescent="0.15">
      <c r="A14" s="81"/>
      <c r="B14" s="81"/>
      <c r="C14" s="81"/>
      <c r="D14" s="93" t="s">
        <v>371</v>
      </c>
      <c r="E14" s="81"/>
      <c r="F14" s="81"/>
      <c r="G14" s="81"/>
      <c r="H14" s="110">
        <v>0</v>
      </c>
    </row>
    <row r="15" spans="1:8" x14ac:dyDescent="0.15">
      <c r="H15" s="172"/>
    </row>
    <row r="18" spans="4:4" x14ac:dyDescent="0.15">
      <c r="D18" t="s">
        <v>913</v>
      </c>
    </row>
  </sheetData>
  <phoneticPr fontId="1" type="noConversion"/>
  <conditionalFormatting sqref="G2:G13">
    <cfRule type="containsText" dxfId="67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66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&amp;C&amp;"돋움,굵게"HEART
체외순환실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view="pageLayout" zoomScaleNormal="100" workbookViewId="0">
      <selection activeCell="H3" sqref="H3"/>
    </sheetView>
  </sheetViews>
  <sheetFormatPr defaultRowHeight="13.5" x14ac:dyDescent="0.15"/>
  <cols>
    <col min="1" max="1" width="4.21875" customWidth="1"/>
    <col min="2" max="2" width="7.21875" customWidth="1"/>
    <col min="3" max="3" width="11.6640625" hidden="1" customWidth="1"/>
    <col min="4" max="4" width="18.88671875" customWidth="1"/>
    <col min="5" max="5" width="6.109375" hidden="1" customWidth="1"/>
    <col min="6" max="6" width="28.21875" customWidth="1"/>
    <col min="7" max="7" width="7.5546875" customWidth="1"/>
    <col min="8" max="8" width="8.44140625" style="4" customWidth="1"/>
  </cols>
  <sheetData>
    <row r="1" spans="1:8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103" t="s">
        <v>359</v>
      </c>
      <c r="H1" s="104">
        <v>26.0519</v>
      </c>
    </row>
    <row r="2" spans="1:8" x14ac:dyDescent="0.15">
      <c r="A2" s="113">
        <v>1</v>
      </c>
      <c r="B2" s="122" t="s">
        <v>1250</v>
      </c>
      <c r="C2" s="122"/>
      <c r="D2" s="122" t="s">
        <v>1137</v>
      </c>
      <c r="E2" s="122"/>
      <c r="F2" s="122" t="s">
        <v>899</v>
      </c>
      <c r="G2" s="117" t="str">
        <f>IF(VLOOKUP(B2,'비품현황표(전체)'!$A$1:$F$273,6,FALSE)=0,"",VLOOKUP(B2,'비품현황표(전체)'!$A$1:$F$273,6,FALSE))</f>
        <v/>
      </c>
      <c r="H2" s="94">
        <v>5</v>
      </c>
    </row>
    <row r="3" spans="1:8" x14ac:dyDescent="0.15">
      <c r="A3" s="113">
        <v>2</v>
      </c>
      <c r="B3" s="129" t="s">
        <v>796</v>
      </c>
      <c r="C3" s="129" t="s">
        <v>797</v>
      </c>
      <c r="D3" s="129" t="s">
        <v>798</v>
      </c>
      <c r="E3" s="129" t="s">
        <v>799</v>
      </c>
      <c r="F3" s="129" t="s">
        <v>800</v>
      </c>
      <c r="G3" s="97" t="str">
        <f>IF(VLOOKUP(B3,'비품현황표(전체)'!$A$1:$F$273,6,FALSE)=0,"",VLOOKUP(B3,'비품현황표(전체)'!$A$1:$F$273,6,FALSE))</f>
        <v/>
      </c>
      <c r="H3" s="97">
        <v>2</v>
      </c>
    </row>
    <row r="4" spans="1:8" x14ac:dyDescent="0.15">
      <c r="A4" s="113">
        <v>3</v>
      </c>
      <c r="B4" s="24" t="s">
        <v>1140</v>
      </c>
      <c r="C4" s="2"/>
      <c r="D4" s="2" t="s">
        <v>1139</v>
      </c>
      <c r="E4" s="2"/>
      <c r="F4" s="2" t="s">
        <v>1142</v>
      </c>
      <c r="G4" s="97"/>
      <c r="H4" s="97">
        <v>10</v>
      </c>
    </row>
    <row r="5" spans="1:8" x14ac:dyDescent="0.15">
      <c r="A5" s="113">
        <v>4</v>
      </c>
      <c r="B5" s="128" t="s">
        <v>628</v>
      </c>
      <c r="C5" s="129" t="s">
        <v>629</v>
      </c>
      <c r="D5" s="129" t="s">
        <v>630</v>
      </c>
      <c r="E5" s="129" t="s">
        <v>631</v>
      </c>
      <c r="F5" s="129" t="s">
        <v>671</v>
      </c>
      <c r="G5" s="97" t="str">
        <f>IF(VLOOKUP(B5,'비품현황표(전체)'!$A$1:$F$273,6,FALSE)=0,"",VLOOKUP(B5,'비품현황표(전체)'!$A$1:$F$273,6,FALSE))</f>
        <v/>
      </c>
      <c r="H5" s="97">
        <v>5</v>
      </c>
    </row>
    <row r="6" spans="1:8" x14ac:dyDescent="0.15">
      <c r="A6" s="113">
        <v>5</v>
      </c>
      <c r="B6" s="129" t="s">
        <v>296</v>
      </c>
      <c r="C6" s="129" t="s">
        <v>505</v>
      </c>
      <c r="D6" s="129" t="s">
        <v>297</v>
      </c>
      <c r="E6" s="129" t="s">
        <v>571</v>
      </c>
      <c r="F6" s="129" t="s">
        <v>674</v>
      </c>
      <c r="G6" s="97" t="str">
        <f>IF(VLOOKUP(B6,'비품현황표(전체)'!$A$1:$F$273,6,FALSE)=0,"",VLOOKUP(B6,'비품현황표(전체)'!$A$1:$F$273,6,FALSE))</f>
        <v/>
      </c>
      <c r="H6" s="97">
        <v>1</v>
      </c>
    </row>
    <row r="7" spans="1:8" x14ac:dyDescent="0.15">
      <c r="A7" s="113">
        <v>6</v>
      </c>
      <c r="B7" s="23" t="s">
        <v>21</v>
      </c>
      <c r="C7" s="11" t="s">
        <v>402</v>
      </c>
      <c r="D7" s="11" t="s">
        <v>162</v>
      </c>
      <c r="E7" s="11" t="s">
        <v>556</v>
      </c>
      <c r="F7" s="11" t="s">
        <v>676</v>
      </c>
      <c r="G7" s="44" t="s">
        <v>339</v>
      </c>
      <c r="H7" s="44">
        <v>1</v>
      </c>
    </row>
    <row r="8" spans="1:8" x14ac:dyDescent="0.15">
      <c r="A8" s="113">
        <v>7</v>
      </c>
      <c r="B8" s="129" t="s">
        <v>272</v>
      </c>
      <c r="C8" s="129" t="s">
        <v>508</v>
      </c>
      <c r="D8" s="129" t="s">
        <v>273</v>
      </c>
      <c r="E8" s="129" t="s">
        <v>572</v>
      </c>
      <c r="F8" s="129" t="s">
        <v>636</v>
      </c>
      <c r="G8" s="97" t="str">
        <f>IF(VLOOKUP(B8,'비품현황표(전체)'!$A$1:$F$273,6,FALSE)=0,"",VLOOKUP(B8,'비품현황표(전체)'!$A$1:$F$273,6,FALSE))</f>
        <v/>
      </c>
      <c r="H8" s="97">
        <v>2</v>
      </c>
    </row>
    <row r="9" spans="1:8" x14ac:dyDescent="0.15">
      <c r="A9" s="113">
        <v>8</v>
      </c>
      <c r="B9" s="128" t="s">
        <v>124</v>
      </c>
      <c r="C9" s="129" t="s">
        <v>412</v>
      </c>
      <c r="D9" s="129" t="s">
        <v>123</v>
      </c>
      <c r="E9" s="129" t="s">
        <v>571</v>
      </c>
      <c r="F9" s="129" t="s">
        <v>683</v>
      </c>
      <c r="G9" s="97" t="str">
        <f>IF(VLOOKUP(B9,'비품현황표(전체)'!$A$1:$F$273,6,FALSE)=0,"",VLOOKUP(B9,'비품현황표(전체)'!$A$1:$F$273,6,FALSE))</f>
        <v/>
      </c>
      <c r="H9" s="97">
        <v>3</v>
      </c>
    </row>
    <row r="10" spans="1:8" x14ac:dyDescent="0.15">
      <c r="A10" s="113">
        <v>9</v>
      </c>
      <c r="B10" s="129" t="s">
        <v>852</v>
      </c>
      <c r="C10" s="129" t="s">
        <v>854</v>
      </c>
      <c r="D10" s="129" t="s">
        <v>853</v>
      </c>
      <c r="E10" s="129" t="s">
        <v>855</v>
      </c>
      <c r="F10" s="129" t="s">
        <v>856</v>
      </c>
      <c r="G10" s="97" t="str">
        <f>IF(VLOOKUP(B10,'비품현황표(전체)'!$A$1:$F$273,6,FALSE)=0,"",VLOOKUP(B10,'비품현황표(전체)'!$A$1:$F$273,6,FALSE))</f>
        <v/>
      </c>
      <c r="H10" s="97">
        <v>1</v>
      </c>
    </row>
    <row r="11" spans="1:8" x14ac:dyDescent="0.15">
      <c r="A11" s="113">
        <v>10</v>
      </c>
      <c r="B11" s="129" t="s">
        <v>1347</v>
      </c>
      <c r="C11" s="129"/>
      <c r="D11" s="129" t="s">
        <v>1348</v>
      </c>
      <c r="E11" s="129"/>
      <c r="F11" s="129" t="s">
        <v>1349</v>
      </c>
      <c r="G11" s="97"/>
      <c r="H11" s="97">
        <v>3</v>
      </c>
    </row>
    <row r="12" spans="1:8" x14ac:dyDescent="0.15">
      <c r="A12" s="113">
        <v>11</v>
      </c>
      <c r="B12" s="128" t="s">
        <v>295</v>
      </c>
      <c r="C12" s="129" t="s">
        <v>516</v>
      </c>
      <c r="D12" s="129" t="s">
        <v>313</v>
      </c>
      <c r="E12" s="129" t="s">
        <v>554</v>
      </c>
      <c r="F12" s="129" t="s">
        <v>690</v>
      </c>
      <c r="G12" s="97" t="str">
        <f>IF(VLOOKUP(B12,'비품현황표(전체)'!$A$1:$F$273,6,FALSE)=0,"",VLOOKUP(B12,'비품현황표(전체)'!$A$1:$F$273,6,FALSE))</f>
        <v/>
      </c>
      <c r="H12" s="97">
        <v>2</v>
      </c>
    </row>
    <row r="13" spans="1:8" x14ac:dyDescent="0.15">
      <c r="A13" s="113">
        <v>12</v>
      </c>
      <c r="B13" s="128" t="s">
        <v>357</v>
      </c>
      <c r="C13" s="129" t="s">
        <v>517</v>
      </c>
      <c r="D13" s="129" t="s">
        <v>358</v>
      </c>
      <c r="E13" s="129" t="s">
        <v>554</v>
      </c>
      <c r="F13" s="129" t="s">
        <v>690</v>
      </c>
      <c r="G13" s="97" t="str">
        <f>IF(VLOOKUP(B13,'비품현황표(전체)'!$A$1:$F$273,6,FALSE)=0,"",VLOOKUP(B13,'비품현황표(전체)'!$A$1:$F$273,6,FALSE))</f>
        <v/>
      </c>
      <c r="H13" s="97">
        <v>5</v>
      </c>
    </row>
    <row r="14" spans="1:8" x14ac:dyDescent="0.15">
      <c r="A14" s="113">
        <v>13</v>
      </c>
      <c r="B14" s="99" t="s">
        <v>121</v>
      </c>
      <c r="C14" s="100" t="s">
        <v>519</v>
      </c>
      <c r="D14" s="100" t="s">
        <v>120</v>
      </c>
      <c r="E14" s="100" t="s">
        <v>594</v>
      </c>
      <c r="F14" s="100" t="s">
        <v>693</v>
      </c>
      <c r="G14" s="101" t="str">
        <f>IF(VLOOKUP(B14,'비품현황표(전체)'!$A$1:$F$273,6,FALSE)=0,"",VLOOKUP(B14,'비품현황표(전체)'!$A$1:$F$273,6,FALSE))</f>
        <v>용량고주의</v>
      </c>
      <c r="H14" s="101">
        <v>10</v>
      </c>
    </row>
    <row r="15" spans="1:8" x14ac:dyDescent="0.15">
      <c r="A15" s="113">
        <v>14</v>
      </c>
      <c r="B15" s="100" t="s">
        <v>119</v>
      </c>
      <c r="C15" s="100" t="s">
        <v>424</v>
      </c>
      <c r="D15" s="100" t="s">
        <v>195</v>
      </c>
      <c r="E15" s="100" t="s">
        <v>593</v>
      </c>
      <c r="F15" s="100" t="s">
        <v>633</v>
      </c>
      <c r="G15" s="101" t="str">
        <f>IF(VLOOKUP(B15,'비품현황표(전체)'!$A$1:$F$273,6,FALSE)=0,"",VLOOKUP(B15,'비품현황표(전체)'!$A$1:$F$273,6,FALSE))</f>
        <v>용량고주의</v>
      </c>
      <c r="H15" s="101">
        <v>10</v>
      </c>
    </row>
    <row r="16" spans="1:8" x14ac:dyDescent="0.15">
      <c r="A16" s="113">
        <v>15</v>
      </c>
      <c r="B16" s="128" t="s">
        <v>29</v>
      </c>
      <c r="C16" s="129" t="s">
        <v>427</v>
      </c>
      <c r="D16" s="129" t="s">
        <v>171</v>
      </c>
      <c r="E16" s="129" t="s">
        <v>556</v>
      </c>
      <c r="F16" s="129" t="s">
        <v>696</v>
      </c>
      <c r="G16" s="97" t="str">
        <f>IF(VLOOKUP(B16,'비품현황표(전체)'!$A$1:$F$273,6,FALSE)=0,"",VLOOKUP(B16,'비품현황표(전체)'!$A$1:$F$273,6,FALSE))</f>
        <v/>
      </c>
      <c r="H16" s="97">
        <v>3</v>
      </c>
    </row>
    <row r="17" spans="1:8" x14ac:dyDescent="0.15">
      <c r="A17" s="113">
        <v>16</v>
      </c>
      <c r="B17" s="96" t="s">
        <v>289</v>
      </c>
      <c r="C17" s="96" t="s">
        <v>523</v>
      </c>
      <c r="D17" s="96" t="s">
        <v>290</v>
      </c>
      <c r="E17" s="96" t="s">
        <v>598</v>
      </c>
      <c r="F17" s="96" t="s">
        <v>699</v>
      </c>
      <c r="G17" s="97" t="str">
        <f>IF(VLOOKUP(B17,'비품현황표(전체)'!$A$1:$F$273,6,FALSE)=0,"",VLOOKUP(B17,'비품현황표(전체)'!$A$1:$F$273,6,FALSE))</f>
        <v/>
      </c>
      <c r="H17" s="98">
        <v>2</v>
      </c>
    </row>
    <row r="18" spans="1:8" x14ac:dyDescent="0.15">
      <c r="A18" s="113">
        <v>17</v>
      </c>
      <c r="B18" s="186" t="s">
        <v>1316</v>
      </c>
      <c r="C18" s="162" t="s">
        <v>530</v>
      </c>
      <c r="D18" s="162" t="s">
        <v>333</v>
      </c>
      <c r="E18" s="129" t="s">
        <v>611</v>
      </c>
      <c r="F18" s="129" t="s">
        <v>716</v>
      </c>
      <c r="G18" s="97" t="str">
        <f>IF(VLOOKUP(B18,'비품현황표(전체)'!$A$1:$F$273,6,FALSE)=0,"",VLOOKUP(B18,'비품현황표(전체)'!$A$1:$F$273,6,FALSE))</f>
        <v/>
      </c>
      <c r="H18" s="97">
        <v>2</v>
      </c>
    </row>
    <row r="19" spans="1:8" x14ac:dyDescent="0.15">
      <c r="A19" s="113">
        <v>18</v>
      </c>
      <c r="B19" s="330" t="s">
        <v>1355</v>
      </c>
      <c r="C19" s="331"/>
      <c r="D19" s="331" t="s">
        <v>1356</v>
      </c>
      <c r="E19" s="332"/>
      <c r="F19" s="323" t="s">
        <v>1350</v>
      </c>
      <c r="G19" s="97"/>
      <c r="H19" s="97">
        <v>3</v>
      </c>
    </row>
    <row r="20" spans="1:8" x14ac:dyDescent="0.15">
      <c r="A20" s="113">
        <v>19</v>
      </c>
      <c r="B20" s="30" t="s">
        <v>1164</v>
      </c>
      <c r="C20" s="295" t="s">
        <v>1165</v>
      </c>
      <c r="D20" s="8" t="s">
        <v>1166</v>
      </c>
      <c r="E20" s="2"/>
      <c r="F20" s="71" t="s">
        <v>1167</v>
      </c>
      <c r="G20" s="97"/>
      <c r="H20" s="98">
        <v>5</v>
      </c>
    </row>
    <row r="21" spans="1:8" x14ac:dyDescent="0.15">
      <c r="A21" s="113">
        <v>20</v>
      </c>
      <c r="B21" s="162" t="s">
        <v>283</v>
      </c>
      <c r="C21" s="159" t="s">
        <v>464</v>
      </c>
      <c r="D21" s="159" t="s">
        <v>284</v>
      </c>
      <c r="E21" s="129" t="s">
        <v>571</v>
      </c>
      <c r="F21" s="129" t="s">
        <v>726</v>
      </c>
      <c r="G21" s="97" t="str">
        <f>IF(VLOOKUP(B21,'비품현황표(전체)'!$A$1:$F$273,6,FALSE)=0,"",VLOOKUP(B21,'비품현황표(전체)'!$A$1:$F$273,6,FALSE))</f>
        <v/>
      </c>
      <c r="H21" s="97">
        <v>2</v>
      </c>
    </row>
    <row r="22" spans="1:8" x14ac:dyDescent="0.15">
      <c r="A22" s="113">
        <v>21</v>
      </c>
      <c r="B22" s="129" t="s">
        <v>74</v>
      </c>
      <c r="C22" s="129" t="s">
        <v>465</v>
      </c>
      <c r="D22" s="129" t="s">
        <v>145</v>
      </c>
      <c r="E22" s="129" t="s">
        <v>614</v>
      </c>
      <c r="F22" s="129" t="s">
        <v>727</v>
      </c>
      <c r="G22" s="97" t="str">
        <f>IF(VLOOKUP(B22,'비품현황표(전체)'!$A$1:$F$273,6,FALSE)=0,"",VLOOKUP(B22,'비품현황표(전체)'!$A$1:$F$273,6,FALSE))</f>
        <v/>
      </c>
      <c r="H22" s="97">
        <v>5</v>
      </c>
    </row>
    <row r="23" spans="1:8" x14ac:dyDescent="0.15">
      <c r="A23" s="113">
        <v>22</v>
      </c>
      <c r="B23" s="129" t="s">
        <v>830</v>
      </c>
      <c r="C23" s="129" t="s">
        <v>831</v>
      </c>
      <c r="D23" s="129" t="s">
        <v>832</v>
      </c>
      <c r="E23" s="129" t="s">
        <v>833</v>
      </c>
      <c r="F23" s="129" t="s">
        <v>690</v>
      </c>
      <c r="G23" s="97" t="str">
        <f>IF(VLOOKUP(B23,'비품현황표(전체)'!$A$1:$F$273,6,FALSE)=0,"",VLOOKUP(B23,'비품현황표(전체)'!$A$1:$F$273,6,FALSE))</f>
        <v/>
      </c>
      <c r="H23" s="97">
        <v>2</v>
      </c>
    </row>
    <row r="24" spans="1:8" x14ac:dyDescent="0.15">
      <c r="A24" s="113">
        <v>23</v>
      </c>
      <c r="B24" s="128" t="s">
        <v>42</v>
      </c>
      <c r="C24" s="129" t="s">
        <v>538</v>
      </c>
      <c r="D24" s="129" t="s">
        <v>271</v>
      </c>
      <c r="E24" s="129" t="s">
        <v>554</v>
      </c>
      <c r="F24" s="129" t="s">
        <v>758</v>
      </c>
      <c r="G24" s="97" t="str">
        <f>IF(VLOOKUP(B24,'비품현황표(전체)'!$A$1:$F$273,6,FALSE)=0,"",VLOOKUP(B24,'비품현황표(전체)'!$A$1:$F$273,6,FALSE))</f>
        <v/>
      </c>
      <c r="H24" s="97">
        <v>1</v>
      </c>
    </row>
    <row r="25" spans="1:8" x14ac:dyDescent="0.15">
      <c r="A25" s="113">
        <v>24</v>
      </c>
      <c r="B25" s="128" t="s">
        <v>828</v>
      </c>
      <c r="C25" s="129" t="s">
        <v>816</v>
      </c>
      <c r="D25" s="129" t="s">
        <v>829</v>
      </c>
      <c r="E25" s="129" t="s">
        <v>799</v>
      </c>
      <c r="F25" s="129" t="s">
        <v>815</v>
      </c>
      <c r="G25" s="97" t="str">
        <f>IF(VLOOKUP(B25,'비품현황표(전체)'!$A$1:$F$273,6,FALSE)=0,"",VLOOKUP(B25,'비품현황표(전체)'!$A$1:$F$273,6,FALSE))</f>
        <v/>
      </c>
      <c r="H25" s="97">
        <v>2</v>
      </c>
    </row>
    <row r="26" spans="1:8" x14ac:dyDescent="0.15">
      <c r="A26" s="113">
        <v>25</v>
      </c>
      <c r="B26" s="128" t="s">
        <v>825</v>
      </c>
      <c r="C26" s="129" t="s">
        <v>540</v>
      </c>
      <c r="D26" s="129" t="s">
        <v>826</v>
      </c>
      <c r="E26" s="129" t="s">
        <v>827</v>
      </c>
      <c r="F26" s="129" t="s">
        <v>740</v>
      </c>
      <c r="G26" s="97" t="str">
        <f>IF(VLOOKUP(B26,'비품현황표(전체)'!$A$1:$F$273,6,FALSE)=0,"",VLOOKUP(B26,'비품현황표(전체)'!$A$1:$F$273,6,FALSE))</f>
        <v/>
      </c>
      <c r="H26" s="97">
        <v>1</v>
      </c>
    </row>
    <row r="27" spans="1:8" x14ac:dyDescent="0.15">
      <c r="A27" s="113">
        <v>26</v>
      </c>
      <c r="B27" s="27" t="s">
        <v>46</v>
      </c>
      <c r="C27" s="15" t="s">
        <v>482</v>
      </c>
      <c r="D27" s="15" t="s">
        <v>153</v>
      </c>
      <c r="E27" s="15" t="s">
        <v>569</v>
      </c>
      <c r="F27" s="15" t="s">
        <v>743</v>
      </c>
      <c r="G27" s="44" t="s">
        <v>354</v>
      </c>
      <c r="H27" s="185">
        <v>1</v>
      </c>
    </row>
    <row r="28" spans="1:8" x14ac:dyDescent="0.15">
      <c r="A28" s="113">
        <v>27</v>
      </c>
      <c r="B28" s="23" t="s">
        <v>264</v>
      </c>
      <c r="C28" s="11" t="s">
        <v>550</v>
      </c>
      <c r="D28" s="11" t="s">
        <v>276</v>
      </c>
      <c r="E28" s="11" t="s">
        <v>558</v>
      </c>
      <c r="F28" s="11" t="s">
        <v>660</v>
      </c>
      <c r="G28" s="44" t="s">
        <v>354</v>
      </c>
      <c r="H28" s="185">
        <v>1</v>
      </c>
    </row>
    <row r="29" spans="1:8" x14ac:dyDescent="0.15">
      <c r="A29" s="113">
        <v>28</v>
      </c>
      <c r="B29" s="23" t="s">
        <v>555</v>
      </c>
      <c r="C29" s="11" t="s">
        <v>549</v>
      </c>
      <c r="D29" s="11" t="s">
        <v>132</v>
      </c>
      <c r="E29" s="11" t="s">
        <v>554</v>
      </c>
      <c r="F29" s="11" t="s">
        <v>700</v>
      </c>
      <c r="G29" s="44" t="s">
        <v>997</v>
      </c>
      <c r="H29" s="185">
        <v>1</v>
      </c>
    </row>
    <row r="30" spans="1:8" x14ac:dyDescent="0.15">
      <c r="A30" s="81"/>
      <c r="B30" s="81"/>
      <c r="C30" s="81"/>
      <c r="D30" s="93" t="s">
        <v>804</v>
      </c>
      <c r="E30" s="81"/>
      <c r="F30" s="106"/>
      <c r="G30" s="81"/>
      <c r="H30" s="110">
        <v>28</v>
      </c>
    </row>
  </sheetData>
  <sortState ref="A2:H30">
    <sortCondition ref="D2"/>
  </sortState>
  <phoneticPr fontId="1" type="noConversion"/>
  <conditionalFormatting sqref="G2:G6 G8:G26">
    <cfRule type="containsText" dxfId="65" priority="7" operator="containsText" text="유사">
      <formula>NOT(ISERROR(SEARCH("유사",G2)))</formula>
    </cfRule>
    <cfRule type="containsText" priority="8" operator="containsText" text="유사 용량">
      <formula>NOT(ISERROR(SEARCH("유사 용량",G2)))</formula>
    </cfRule>
    <cfRule type="containsText" dxfId="64" priority="9" operator="containsText" text="혼돈주의약품, 유사모양, 유사발음">
      <formula>NOT(ISERROR(SEARCH("혼돈주의약품, 유사모양, 유사발음",G2)))</formula>
    </cfRule>
  </conditionalFormatting>
  <conditionalFormatting sqref="B4">
    <cfRule type="duplicateValues" dxfId="63" priority="6"/>
  </conditionalFormatting>
  <conditionalFormatting sqref="B20">
    <cfRule type="duplicateValues" dxfId="62" priority="5"/>
  </conditionalFormatting>
  <conditionalFormatting sqref="B7">
    <cfRule type="duplicateValues" dxfId="61" priority="4"/>
  </conditionalFormatting>
  <conditionalFormatting sqref="B27">
    <cfRule type="duplicateValues" dxfId="60" priority="3"/>
  </conditionalFormatting>
  <conditionalFormatting sqref="B28">
    <cfRule type="duplicateValues" dxfId="59" priority="2"/>
  </conditionalFormatting>
  <conditionalFormatting sqref="B29">
    <cfRule type="duplicateValues" dxfId="58" priority="1"/>
  </conditionalFormatting>
  <pageMargins left="0.7" right="0.7" top="0.75" bottom="0.75" header="0.3" footer="0.3"/>
  <pageSetup paperSize="9" orientation="portrait" r:id="rId1"/>
  <headerFooter>
    <oddHeader>&amp;C&amp;"돋움,굵게"PED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view="pageLayout" topLeftCell="A56" zoomScaleNormal="100" workbookViewId="0">
      <selection activeCell="A2" sqref="A2:A84"/>
    </sheetView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6640625" customWidth="1"/>
    <col min="7" max="7" width="7.5546875" customWidth="1"/>
    <col min="8" max="8" width="7.44140625" customWidth="1"/>
  </cols>
  <sheetData>
    <row r="1" spans="1:8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5" t="s">
        <v>632</v>
      </c>
      <c r="G1" s="103" t="s">
        <v>359</v>
      </c>
      <c r="H1" s="104" t="s">
        <v>1386</v>
      </c>
    </row>
    <row r="2" spans="1:8" x14ac:dyDescent="0.15">
      <c r="A2" s="249">
        <v>1</v>
      </c>
      <c r="B2" s="250" t="s">
        <v>316</v>
      </c>
      <c r="C2" s="251" t="s">
        <v>489</v>
      </c>
      <c r="D2" s="251" t="s">
        <v>317</v>
      </c>
      <c r="E2" s="252" t="s">
        <v>562</v>
      </c>
      <c r="F2" s="253" t="s">
        <v>637</v>
      </c>
      <c r="G2" s="66" t="str">
        <f>IF(VLOOKUP(B2,'비품현황표(전체)'!$A$1:$F$273,6,FALSE)=0,"",VLOOKUP(B2,'비품현황표(전체)'!$A$1:$F$273,6,FALSE))</f>
        <v/>
      </c>
      <c r="H2" s="191">
        <v>3</v>
      </c>
    </row>
    <row r="3" spans="1:8" x14ac:dyDescent="0.15">
      <c r="A3" s="249">
        <v>2</v>
      </c>
      <c r="B3" s="254" t="s">
        <v>318</v>
      </c>
      <c r="C3" s="1" t="s">
        <v>490</v>
      </c>
      <c r="D3" s="1" t="s">
        <v>319</v>
      </c>
      <c r="E3" s="254" t="s">
        <v>562</v>
      </c>
      <c r="F3" s="254" t="s">
        <v>637</v>
      </c>
      <c r="G3" s="38" t="str">
        <f>IF(VLOOKUP(B3,'비품현황표(전체)'!$A$1:$F$273,6,FALSE)=0,"",VLOOKUP(B3,'비품현황표(전체)'!$A$1:$F$273,6,FALSE))</f>
        <v/>
      </c>
      <c r="H3" s="255">
        <v>3</v>
      </c>
    </row>
    <row r="4" spans="1:8" x14ac:dyDescent="0.15">
      <c r="A4" s="249">
        <v>3</v>
      </c>
      <c r="B4" s="24" t="s">
        <v>1301</v>
      </c>
      <c r="C4" s="2"/>
      <c r="D4" s="2" t="s">
        <v>1302</v>
      </c>
      <c r="E4" s="5"/>
      <c r="F4" s="5" t="s">
        <v>1305</v>
      </c>
      <c r="G4" s="38"/>
      <c r="H4" s="255">
        <v>3</v>
      </c>
    </row>
    <row r="5" spans="1:8" x14ac:dyDescent="0.15">
      <c r="A5" s="249">
        <v>4</v>
      </c>
      <c r="B5" s="24" t="s">
        <v>1303</v>
      </c>
      <c r="C5" s="2"/>
      <c r="D5" s="2" t="s">
        <v>1304</v>
      </c>
      <c r="E5" s="5"/>
      <c r="F5" s="71" t="s">
        <v>661</v>
      </c>
      <c r="G5" s="38"/>
      <c r="H5" s="255">
        <v>3</v>
      </c>
    </row>
    <row r="6" spans="1:8" x14ac:dyDescent="0.15">
      <c r="A6" s="249">
        <v>5</v>
      </c>
      <c r="B6" s="5" t="s">
        <v>1250</v>
      </c>
      <c r="C6" s="5"/>
      <c r="D6" s="5" t="s">
        <v>1137</v>
      </c>
      <c r="E6" s="5"/>
      <c r="F6" s="5" t="s">
        <v>899</v>
      </c>
      <c r="G6" s="38" t="str">
        <f>IF(VLOOKUP(B6,'비품현황표(전체)'!$A$1:$F$273,6,FALSE)=0,"",VLOOKUP(B6,'비품현황표(전체)'!$A$1:$F$273,6,FALSE))</f>
        <v/>
      </c>
      <c r="H6" s="256">
        <v>5</v>
      </c>
    </row>
    <row r="7" spans="1:8" x14ac:dyDescent="0.15">
      <c r="A7" s="249">
        <v>6</v>
      </c>
      <c r="B7" s="11" t="s">
        <v>75</v>
      </c>
      <c r="C7" s="11" t="s">
        <v>377</v>
      </c>
      <c r="D7" s="11" t="s">
        <v>184</v>
      </c>
      <c r="E7" s="11" t="s">
        <v>563</v>
      </c>
      <c r="F7" s="11" t="s">
        <v>642</v>
      </c>
      <c r="G7" s="11" t="str">
        <f>IF(VLOOKUP(B7,'비품현황표(전체)'!$A$1:$F$273,6,FALSE)=0,"",VLOOKUP(B7,'비품현황표(전체)'!$A$1:$F$273,6,FALSE))</f>
        <v>용량고주의</v>
      </c>
      <c r="H7" s="257">
        <v>3</v>
      </c>
    </row>
    <row r="8" spans="1:8" x14ac:dyDescent="0.15">
      <c r="A8" s="249">
        <v>7</v>
      </c>
      <c r="B8" s="15" t="s">
        <v>82</v>
      </c>
      <c r="C8" s="15" t="s">
        <v>542</v>
      </c>
      <c r="D8" s="15" t="s">
        <v>154</v>
      </c>
      <c r="E8" s="15" t="s">
        <v>556</v>
      </c>
      <c r="F8" s="15" t="s">
        <v>645</v>
      </c>
      <c r="G8" s="38" t="str">
        <f>IF(VLOOKUP(B8,'비품현황표(전체)'!$A$1:$F$273,6,FALSE)=0,"",VLOOKUP(B8,'비품현황표(전체)'!$A$1:$F$273,6,FALSE))</f>
        <v>유사모양</v>
      </c>
      <c r="H8" s="257">
        <v>6</v>
      </c>
    </row>
    <row r="9" spans="1:8" x14ac:dyDescent="0.15">
      <c r="A9" s="249">
        <v>8</v>
      </c>
      <c r="B9" s="254" t="s">
        <v>1310</v>
      </c>
      <c r="C9" s="1" t="s">
        <v>817</v>
      </c>
      <c r="D9" s="1" t="s">
        <v>818</v>
      </c>
      <c r="E9" s="258" t="s">
        <v>562</v>
      </c>
      <c r="F9" s="259" t="s">
        <v>819</v>
      </c>
      <c r="G9" s="38" t="str">
        <f>IF(VLOOKUP(B9,'비품현황표(전체)'!$A$1:$F$273,6,FALSE)=0,"",VLOOKUP(B9,'비품현황표(전체)'!$A$1:$F$273,6,FALSE))</f>
        <v/>
      </c>
      <c r="H9" s="255">
        <v>5</v>
      </c>
    </row>
    <row r="10" spans="1:8" x14ac:dyDescent="0.15">
      <c r="A10" s="249">
        <v>9</v>
      </c>
      <c r="B10" s="13" t="s">
        <v>904</v>
      </c>
      <c r="C10" s="11"/>
      <c r="D10" s="11" t="s">
        <v>903</v>
      </c>
      <c r="E10" s="73"/>
      <c r="F10" s="260" t="s">
        <v>648</v>
      </c>
      <c r="G10" s="38" t="str">
        <f>IF(VLOOKUP(B10,'비품현황표(전체)'!$A$1:$F$273,6,FALSE)=0,"",VLOOKUP(B10,'비품현황표(전체)'!$A$1:$F$273,6,FALSE))</f>
        <v>유사발음</v>
      </c>
      <c r="H10" s="257">
        <v>2</v>
      </c>
    </row>
    <row r="11" spans="1:8" x14ac:dyDescent="0.15">
      <c r="A11" s="249">
        <v>10</v>
      </c>
      <c r="B11" s="1" t="s">
        <v>36</v>
      </c>
      <c r="C11" s="1" t="s">
        <v>381</v>
      </c>
      <c r="D11" s="1" t="s">
        <v>207</v>
      </c>
      <c r="E11" s="1" t="s">
        <v>556</v>
      </c>
      <c r="F11" s="1" t="s">
        <v>649</v>
      </c>
      <c r="G11" s="38" t="str">
        <f>IF(VLOOKUP(B11,'비품현황표(전체)'!$A$1:$F$273,6,FALSE)=0,"",VLOOKUP(B11,'비품현황표(전체)'!$A$1:$F$273,6,FALSE))</f>
        <v/>
      </c>
      <c r="H11" s="255">
        <v>2</v>
      </c>
    </row>
    <row r="12" spans="1:8" x14ac:dyDescent="0.15">
      <c r="A12" s="249">
        <v>11</v>
      </c>
      <c r="B12" s="2" t="s">
        <v>1023</v>
      </c>
      <c r="C12" s="2" t="s">
        <v>100</v>
      </c>
      <c r="D12" s="2" t="s">
        <v>872</v>
      </c>
      <c r="E12" s="2" t="s">
        <v>562</v>
      </c>
      <c r="F12" s="2" t="s">
        <v>651</v>
      </c>
      <c r="G12" s="38" t="str">
        <f>IF(VLOOKUP(B12,'비품현황표(전체)'!$A$1:$F$273,6,FALSE)=0,"",VLOOKUP(B12,'비품현황표(전체)'!$A$1:$F$273,6,FALSE))</f>
        <v/>
      </c>
      <c r="H12" s="256">
        <v>3</v>
      </c>
    </row>
    <row r="13" spans="1:8" x14ac:dyDescent="0.15">
      <c r="A13" s="249">
        <v>12</v>
      </c>
      <c r="B13" s="24" t="s">
        <v>1371</v>
      </c>
      <c r="C13" s="2"/>
      <c r="D13" s="2" t="s">
        <v>1372</v>
      </c>
      <c r="E13" s="2"/>
      <c r="F13" s="2" t="s">
        <v>1373</v>
      </c>
      <c r="G13" s="38"/>
      <c r="H13" s="256">
        <v>2</v>
      </c>
    </row>
    <row r="14" spans="1:8" x14ac:dyDescent="0.15">
      <c r="A14" s="249">
        <v>13</v>
      </c>
      <c r="B14" s="5" t="s">
        <v>76</v>
      </c>
      <c r="C14" s="2" t="s">
        <v>387</v>
      </c>
      <c r="D14" s="2" t="s">
        <v>129</v>
      </c>
      <c r="E14" s="2" t="s">
        <v>554</v>
      </c>
      <c r="F14" s="2" t="s">
        <v>648</v>
      </c>
      <c r="G14" s="38" t="str">
        <f>IF(VLOOKUP(B14,'비품현황표(전체)'!$A$1:$F$273,6,FALSE)=0,"",VLOOKUP(B14,'비품현황표(전체)'!$A$1:$F$273,6,FALSE))</f>
        <v/>
      </c>
      <c r="H14" s="256">
        <v>2</v>
      </c>
    </row>
    <row r="15" spans="1:8" x14ac:dyDescent="0.15">
      <c r="A15" s="249">
        <v>14</v>
      </c>
      <c r="B15" s="5" t="s">
        <v>1281</v>
      </c>
      <c r="C15" s="2" t="s">
        <v>497</v>
      </c>
      <c r="D15" s="2" t="s">
        <v>760</v>
      </c>
      <c r="E15" s="2" t="s">
        <v>554</v>
      </c>
      <c r="F15" s="2" t="s">
        <v>648</v>
      </c>
      <c r="G15" s="38" t="str">
        <f>IF(VLOOKUP(B15,'비품현황표(전체)'!$A$1:$F$273,6,FALSE)=0,"",VLOOKUP(B15,'비품현황표(전체)'!$A$1:$F$273,6,FALSE))</f>
        <v/>
      </c>
      <c r="H15" s="256">
        <v>2</v>
      </c>
    </row>
    <row r="16" spans="1:8" x14ac:dyDescent="0.15">
      <c r="A16" s="249">
        <v>15</v>
      </c>
      <c r="B16" s="254" t="s">
        <v>1120</v>
      </c>
      <c r="C16" s="1" t="s">
        <v>1121</v>
      </c>
      <c r="D16" s="1" t="s">
        <v>1122</v>
      </c>
      <c r="E16" s="1" t="s">
        <v>850</v>
      </c>
      <c r="F16" s="1" t="s">
        <v>648</v>
      </c>
      <c r="G16" s="38"/>
      <c r="H16" s="255">
        <v>2</v>
      </c>
    </row>
    <row r="17" spans="1:8" x14ac:dyDescent="0.15">
      <c r="A17" s="249">
        <v>16</v>
      </c>
      <c r="B17" s="254" t="s">
        <v>981</v>
      </c>
      <c r="C17" s="1" t="s">
        <v>388</v>
      </c>
      <c r="D17" s="1" t="s">
        <v>186</v>
      </c>
      <c r="E17" s="1" t="s">
        <v>554</v>
      </c>
      <c r="F17" s="1" t="s">
        <v>663</v>
      </c>
      <c r="G17" s="38" t="str">
        <f>IF(VLOOKUP(B17,'비품현황표(전체)'!$A$1:$F$273,6,FALSE)=0,"",VLOOKUP(B17,'비품현황표(전체)'!$A$1:$F$273,6,FALSE))</f>
        <v/>
      </c>
      <c r="H17" s="255">
        <v>2</v>
      </c>
    </row>
    <row r="18" spans="1:8" x14ac:dyDescent="0.15">
      <c r="A18" s="249">
        <v>17</v>
      </c>
      <c r="B18" s="254" t="s">
        <v>1320</v>
      </c>
      <c r="C18" s="1" t="s">
        <v>473</v>
      </c>
      <c r="D18" s="1" t="s">
        <v>1321</v>
      </c>
      <c r="E18" s="1" t="s">
        <v>554</v>
      </c>
      <c r="F18" s="1" t="s">
        <v>651</v>
      </c>
      <c r="G18" s="38" t="str">
        <f>IF(VLOOKUP(B18,'비품현황표(전체)'!$A$1:$F$273,6,FALSE)=0,"",VLOOKUP(B18,'비품현황표(전체)'!$A$1:$F$273,6,FALSE))</f>
        <v/>
      </c>
      <c r="H18" s="255">
        <v>3</v>
      </c>
    </row>
    <row r="19" spans="1:8" x14ac:dyDescent="0.15">
      <c r="A19" s="249">
        <v>18</v>
      </c>
      <c r="B19" s="24" t="s">
        <v>1299</v>
      </c>
      <c r="C19" s="2" t="s">
        <v>474</v>
      </c>
      <c r="D19" s="2" t="s">
        <v>1300</v>
      </c>
      <c r="E19" s="2" t="s">
        <v>554</v>
      </c>
      <c r="F19" s="2" t="s">
        <v>639</v>
      </c>
      <c r="G19" s="38"/>
      <c r="H19" s="255">
        <v>2</v>
      </c>
    </row>
    <row r="20" spans="1:8" x14ac:dyDescent="0.15">
      <c r="A20" s="249">
        <v>19</v>
      </c>
      <c r="B20" s="261" t="s">
        <v>116</v>
      </c>
      <c r="C20" s="1" t="s">
        <v>390</v>
      </c>
      <c r="D20" s="1" t="s">
        <v>187</v>
      </c>
      <c r="E20" s="1" t="s">
        <v>579</v>
      </c>
      <c r="F20" s="1" t="s">
        <v>666</v>
      </c>
      <c r="G20" s="38" t="str">
        <f>IF(VLOOKUP(B20,'비품현황표(전체)'!$A$1:$F$273,6,FALSE)=0,"",VLOOKUP(B20,'비품현황표(전체)'!$A$1:$F$273,6,FALSE))</f>
        <v/>
      </c>
      <c r="H20" s="255">
        <v>5</v>
      </c>
    </row>
    <row r="21" spans="1:8" x14ac:dyDescent="0.15">
      <c r="A21" s="249">
        <v>20</v>
      </c>
      <c r="B21" s="254" t="s">
        <v>298</v>
      </c>
      <c r="C21" s="1" t="s">
        <v>502</v>
      </c>
      <c r="D21" s="1" t="s">
        <v>300</v>
      </c>
      <c r="E21" s="1" t="s">
        <v>578</v>
      </c>
      <c r="F21" s="1" t="s">
        <v>668</v>
      </c>
      <c r="G21" s="38" t="str">
        <f>IF(VLOOKUP(B21,'비품현황표(전체)'!$A$1:$F$273,6,FALSE)=0,"",VLOOKUP(B21,'비품현황표(전체)'!$A$1:$F$273,6,FALSE))</f>
        <v/>
      </c>
      <c r="H21" s="255">
        <v>6</v>
      </c>
    </row>
    <row r="22" spans="1:8" x14ac:dyDescent="0.15">
      <c r="A22" s="249">
        <v>21</v>
      </c>
      <c r="B22" s="254" t="s">
        <v>299</v>
      </c>
      <c r="C22" s="1" t="s">
        <v>503</v>
      </c>
      <c r="D22" s="1" t="s">
        <v>301</v>
      </c>
      <c r="E22" s="1" t="s">
        <v>581</v>
      </c>
      <c r="F22" s="1" t="s">
        <v>662</v>
      </c>
      <c r="G22" s="38" t="str">
        <f>IF(VLOOKUP(B22,'비품현황표(전체)'!$A$1:$F$273,6,FALSE)=0,"",VLOOKUP(B22,'비품현황표(전체)'!$A$1:$F$273,6,FALSE))</f>
        <v/>
      </c>
      <c r="H22" s="255">
        <v>3</v>
      </c>
    </row>
    <row r="23" spans="1:8" x14ac:dyDescent="0.15">
      <c r="A23" s="249">
        <v>22</v>
      </c>
      <c r="B23" s="254" t="s">
        <v>28</v>
      </c>
      <c r="C23" s="1" t="s">
        <v>392</v>
      </c>
      <c r="D23" s="1" t="s">
        <v>77</v>
      </c>
      <c r="E23" s="1" t="s">
        <v>554</v>
      </c>
      <c r="F23" s="1" t="s">
        <v>669</v>
      </c>
      <c r="G23" s="38" t="str">
        <f>IF(VLOOKUP(B23,'비품현황표(전체)'!$A$1:$F$273,6,FALSE)=0,"",VLOOKUP(B23,'비품현황표(전체)'!$A$1:$F$273,6,FALSE))</f>
        <v/>
      </c>
      <c r="H23" s="255">
        <v>5</v>
      </c>
    </row>
    <row r="24" spans="1:8" x14ac:dyDescent="0.15">
      <c r="A24" s="249">
        <v>23</v>
      </c>
      <c r="B24" s="13" t="s">
        <v>60</v>
      </c>
      <c r="C24" s="11" t="s">
        <v>394</v>
      </c>
      <c r="D24" s="11" t="s">
        <v>159</v>
      </c>
      <c r="E24" s="11" t="s">
        <v>556</v>
      </c>
      <c r="F24" s="11" t="s">
        <v>670</v>
      </c>
      <c r="G24" s="38" t="str">
        <f>IF(VLOOKUP(B24,'비품현황표(전체)'!$A$1:$F$273,6,FALSE)=0,"",VLOOKUP(B24,'비품현황표(전체)'!$A$1:$F$273,6,FALSE))</f>
        <v>유사발음</v>
      </c>
      <c r="H24" s="257">
        <v>5</v>
      </c>
    </row>
    <row r="25" spans="1:8" x14ac:dyDescent="0.15">
      <c r="A25" s="249">
        <v>24</v>
      </c>
      <c r="B25" s="1" t="s">
        <v>89</v>
      </c>
      <c r="C25" s="1" t="s">
        <v>395</v>
      </c>
      <c r="D25" s="1" t="s">
        <v>99</v>
      </c>
      <c r="E25" s="1" t="s">
        <v>556</v>
      </c>
      <c r="F25" s="1" t="s">
        <v>643</v>
      </c>
      <c r="G25" s="38" t="str">
        <f>IF(VLOOKUP(B25,'비품현황표(전체)'!$A$1:$F$273,6,FALSE)=0,"",VLOOKUP(B25,'비품현황표(전체)'!$A$1:$F$273,6,FALSE))</f>
        <v/>
      </c>
      <c r="H25" s="255">
        <v>2</v>
      </c>
    </row>
    <row r="26" spans="1:8" x14ac:dyDescent="0.15">
      <c r="A26" s="249">
        <v>25</v>
      </c>
      <c r="B26" s="26" t="s">
        <v>1185</v>
      </c>
      <c r="C26" s="2"/>
      <c r="D26" s="2" t="s">
        <v>1186</v>
      </c>
      <c r="E26" s="2"/>
      <c r="F26" s="2" t="s">
        <v>1187</v>
      </c>
      <c r="G26" s="38"/>
      <c r="H26" s="255">
        <v>1</v>
      </c>
    </row>
    <row r="27" spans="1:8" x14ac:dyDescent="0.15">
      <c r="A27" s="249">
        <v>26</v>
      </c>
      <c r="B27" s="5" t="s">
        <v>775</v>
      </c>
      <c r="C27" s="2" t="s">
        <v>777</v>
      </c>
      <c r="D27" s="2" t="s">
        <v>776</v>
      </c>
      <c r="E27" s="2" t="s">
        <v>778</v>
      </c>
      <c r="F27" s="2" t="s">
        <v>674</v>
      </c>
      <c r="G27" s="38" t="str">
        <f>IF(VLOOKUP(B27,'비품현황표(전체)'!$A$1:$F$273,6,FALSE)=0,"",VLOOKUP(B27,'비품현황표(전체)'!$A$1:$F$273,6,FALSE))</f>
        <v/>
      </c>
      <c r="H27" s="256">
        <v>5</v>
      </c>
    </row>
    <row r="28" spans="1:8" x14ac:dyDescent="0.15">
      <c r="A28" s="249">
        <v>27</v>
      </c>
      <c r="B28" s="5" t="s">
        <v>1036</v>
      </c>
      <c r="C28" s="2" t="s">
        <v>1037</v>
      </c>
      <c r="D28" s="2" t="s">
        <v>1038</v>
      </c>
      <c r="E28" s="2" t="s">
        <v>1039</v>
      </c>
      <c r="F28" s="2" t="s">
        <v>1040</v>
      </c>
      <c r="G28" s="38" t="str">
        <f>IF(VLOOKUP(B28,'비품현황표(전체)'!$A$1:$F$273,6,FALSE)=0,"",VLOOKUP(B28,'비품현황표(전체)'!$A$1:$F$273,6,FALSE))</f>
        <v/>
      </c>
      <c r="H28" s="256">
        <v>6</v>
      </c>
    </row>
    <row r="29" spans="1:8" x14ac:dyDescent="0.15">
      <c r="A29" s="249">
        <v>28</v>
      </c>
      <c r="B29" s="2" t="s">
        <v>838</v>
      </c>
      <c r="C29" s="2" t="s">
        <v>105</v>
      </c>
      <c r="D29" s="2" t="s">
        <v>137</v>
      </c>
      <c r="E29" s="2" t="s">
        <v>554</v>
      </c>
      <c r="F29" s="2" t="s">
        <v>679</v>
      </c>
      <c r="G29" s="38" t="str">
        <f>IF(VLOOKUP(B29,'비품현황표(전체)'!$A$1:$F$273,6,FALSE)=0,"",VLOOKUP(B29,'비품현황표(전체)'!$A$1:$F$273,6,FALSE))</f>
        <v/>
      </c>
      <c r="H29" s="256">
        <v>3</v>
      </c>
    </row>
    <row r="30" spans="1:8" x14ac:dyDescent="0.15">
      <c r="A30" s="249">
        <v>29</v>
      </c>
      <c r="B30" s="25" t="s">
        <v>1200</v>
      </c>
      <c r="C30" s="2"/>
      <c r="D30" s="2" t="s">
        <v>1201</v>
      </c>
      <c r="E30" s="2"/>
      <c r="F30" s="2" t="s">
        <v>1202</v>
      </c>
      <c r="G30" s="38"/>
      <c r="H30" s="256">
        <v>2</v>
      </c>
    </row>
    <row r="31" spans="1:8" x14ac:dyDescent="0.15">
      <c r="A31" s="249">
        <v>30</v>
      </c>
      <c r="B31" s="2" t="s">
        <v>964</v>
      </c>
      <c r="C31" s="2"/>
      <c r="D31" s="2" t="s">
        <v>963</v>
      </c>
      <c r="E31" s="2"/>
      <c r="F31" s="262" t="s">
        <v>648</v>
      </c>
      <c r="G31" s="38" t="str">
        <f>IF(VLOOKUP(B31,'비품현황표(전체)'!$A$1:$F$273,6,FALSE)=0,"",VLOOKUP(B31,'비품현황표(전체)'!$A$1:$F$273,6,FALSE))</f>
        <v/>
      </c>
      <c r="H31" s="256">
        <v>3</v>
      </c>
    </row>
    <row r="32" spans="1:8" x14ac:dyDescent="0.15">
      <c r="A32" s="249">
        <v>31</v>
      </c>
      <c r="B32" s="2" t="s">
        <v>965</v>
      </c>
      <c r="C32" s="2"/>
      <c r="D32" s="2" t="s">
        <v>966</v>
      </c>
      <c r="E32" s="2"/>
      <c r="F32" s="262" t="s">
        <v>648</v>
      </c>
      <c r="G32" s="38" t="str">
        <f>IF(VLOOKUP(B32,'비품현황표(전체)'!$A$1:$F$273,6,FALSE)=0,"",VLOOKUP(B32,'비품현황표(전체)'!$A$1:$F$273,6,FALSE))</f>
        <v/>
      </c>
      <c r="H32" s="256">
        <v>3</v>
      </c>
    </row>
    <row r="33" spans="1:8" x14ac:dyDescent="0.15">
      <c r="A33" s="249">
        <v>32</v>
      </c>
      <c r="B33" s="1" t="s">
        <v>13</v>
      </c>
      <c r="C33" s="1" t="s">
        <v>101</v>
      </c>
      <c r="D33" s="1" t="s">
        <v>166</v>
      </c>
      <c r="E33" s="1" t="s">
        <v>556</v>
      </c>
      <c r="F33" s="1" t="s">
        <v>655</v>
      </c>
      <c r="G33" s="38" t="str">
        <f>IF(VLOOKUP(B33,'비품현황표(전체)'!$A$1:$F$273,6,FALSE)=0,"",VLOOKUP(B33,'비품현황표(전체)'!$A$1:$F$273,6,FALSE))</f>
        <v/>
      </c>
      <c r="H33" s="255">
        <v>5</v>
      </c>
    </row>
    <row r="34" spans="1:8" x14ac:dyDescent="0.15">
      <c r="A34" s="249">
        <v>33</v>
      </c>
      <c r="B34" s="24" t="s">
        <v>1117</v>
      </c>
      <c r="C34" s="2" t="s">
        <v>1118</v>
      </c>
      <c r="D34" s="2" t="s">
        <v>1119</v>
      </c>
      <c r="E34" s="2" t="s">
        <v>571</v>
      </c>
      <c r="F34" s="2" t="s">
        <v>1116</v>
      </c>
      <c r="G34" s="38"/>
      <c r="H34" s="255">
        <v>5</v>
      </c>
    </row>
    <row r="35" spans="1:8" x14ac:dyDescent="0.15">
      <c r="A35" s="249">
        <v>34</v>
      </c>
      <c r="B35" s="5" t="s">
        <v>1009</v>
      </c>
      <c r="C35" s="2" t="s">
        <v>413</v>
      </c>
      <c r="D35" s="2" t="s">
        <v>1010</v>
      </c>
      <c r="E35" s="2" t="s">
        <v>589</v>
      </c>
      <c r="F35" s="2" t="s">
        <v>661</v>
      </c>
      <c r="G35" s="38" t="str">
        <f>IF(VLOOKUP(B35,'비품현황표(전체)'!$A$1:$F$273,6,FALSE)=0,"",VLOOKUP(B35,'비품현황표(전체)'!$A$1:$F$273,6,FALSE))</f>
        <v/>
      </c>
      <c r="H35" s="255">
        <v>2</v>
      </c>
    </row>
    <row r="36" spans="1:8" x14ac:dyDescent="0.15">
      <c r="A36" s="249">
        <v>35</v>
      </c>
      <c r="B36" s="254" t="s">
        <v>839</v>
      </c>
      <c r="C36" s="1" t="s">
        <v>414</v>
      </c>
      <c r="D36" s="1" t="s">
        <v>167</v>
      </c>
      <c r="E36" s="1" t="s">
        <v>556</v>
      </c>
      <c r="F36" s="1" t="s">
        <v>751</v>
      </c>
      <c r="G36" s="38" t="str">
        <f>IF(VLOOKUP(B36,'비품현황표(전체)'!$A$1:$F$273,6,FALSE)=0,"",VLOOKUP(B36,'비품현황표(전체)'!$A$1:$F$273,6,FALSE))</f>
        <v/>
      </c>
      <c r="H36" s="255">
        <v>2</v>
      </c>
    </row>
    <row r="37" spans="1:8" x14ac:dyDescent="0.15">
      <c r="A37" s="249">
        <v>36</v>
      </c>
      <c r="B37" s="25" t="s">
        <v>1384</v>
      </c>
      <c r="C37" s="2"/>
      <c r="D37" s="2" t="s">
        <v>1379</v>
      </c>
      <c r="E37" s="1" t="s">
        <v>571</v>
      </c>
      <c r="F37" s="1" t="s">
        <v>752</v>
      </c>
      <c r="G37" s="38" t="str">
        <f>IF(VLOOKUP(B37,'비품현황표(전체)'!$A$1:$F$273,6,FALSE)=0,"",VLOOKUP(B37,'비품현황표(전체)'!$A$1:$F$273,6,FALSE))</f>
        <v/>
      </c>
      <c r="H37" s="255">
        <v>1</v>
      </c>
    </row>
    <row r="38" spans="1:8" x14ac:dyDescent="0.15">
      <c r="A38" s="249">
        <v>37</v>
      </c>
      <c r="B38" s="25" t="s">
        <v>1325</v>
      </c>
      <c r="C38" s="2"/>
      <c r="D38" s="2" t="s">
        <v>1326</v>
      </c>
      <c r="E38" s="2"/>
      <c r="F38" s="71" t="s">
        <v>648</v>
      </c>
      <c r="G38" s="39"/>
      <c r="H38" s="255">
        <v>3</v>
      </c>
    </row>
    <row r="39" spans="1:8" x14ac:dyDescent="0.15">
      <c r="A39" s="249">
        <v>38</v>
      </c>
      <c r="B39" s="1" t="s">
        <v>544</v>
      </c>
      <c r="C39" s="1" t="s">
        <v>545</v>
      </c>
      <c r="D39" s="1" t="s">
        <v>1123</v>
      </c>
      <c r="E39" s="1" t="s">
        <v>556</v>
      </c>
      <c r="F39" s="1" t="s">
        <v>643</v>
      </c>
      <c r="G39" t="s">
        <v>1124</v>
      </c>
      <c r="H39" s="255">
        <v>2</v>
      </c>
    </row>
    <row r="40" spans="1:8" x14ac:dyDescent="0.15">
      <c r="A40" s="249">
        <v>39</v>
      </c>
      <c r="B40" s="254" t="s">
        <v>1106</v>
      </c>
      <c r="C40" s="1" t="s">
        <v>1108</v>
      </c>
      <c r="D40" s="1" t="s">
        <v>1110</v>
      </c>
      <c r="E40" s="1" t="s">
        <v>1112</v>
      </c>
      <c r="F40" s="1" t="s">
        <v>1114</v>
      </c>
      <c r="G40" s="38" t="str">
        <f>IF(VLOOKUP(B40,'비품현황표(전체)'!$A$1:$F$273,6,FALSE)=0,"",VLOOKUP(B40,'비품현황표(전체)'!$A$1:$F$273,6,FALSE))</f>
        <v/>
      </c>
      <c r="H40" s="255">
        <v>3</v>
      </c>
    </row>
    <row r="41" spans="1:8" x14ac:dyDescent="0.15">
      <c r="A41" s="249">
        <v>40</v>
      </c>
      <c r="B41" s="1" t="s">
        <v>110</v>
      </c>
      <c r="C41" s="1" t="s">
        <v>418</v>
      </c>
      <c r="D41" s="1" t="s">
        <v>193</v>
      </c>
      <c r="E41" s="1" t="s">
        <v>591</v>
      </c>
      <c r="F41" s="1" t="s">
        <v>687</v>
      </c>
      <c r="G41" s="38" t="str">
        <f>IF(VLOOKUP(B41,'비품현황표(전체)'!$A$1:$F$273,6,FALSE)=0,"",VLOOKUP(B41,'비품현황표(전체)'!$A$1:$F$273,6,FALSE))</f>
        <v/>
      </c>
      <c r="H41" s="255">
        <v>1</v>
      </c>
    </row>
    <row r="42" spans="1:8" x14ac:dyDescent="0.15">
      <c r="A42" s="249">
        <v>41</v>
      </c>
      <c r="B42" s="1" t="s">
        <v>111</v>
      </c>
      <c r="C42" s="1" t="s">
        <v>419</v>
      </c>
      <c r="D42" s="1" t="s">
        <v>194</v>
      </c>
      <c r="E42" s="1" t="s">
        <v>592</v>
      </c>
      <c r="F42" s="1" t="s">
        <v>687</v>
      </c>
      <c r="G42" s="38" t="str">
        <f>IF(VLOOKUP(B42,'비품현황표(전체)'!$A$1:$F$273,6,FALSE)=0,"",VLOOKUP(B42,'비품현황표(전체)'!$A$1:$F$273,6,FALSE))</f>
        <v/>
      </c>
      <c r="H42" s="255">
        <v>1</v>
      </c>
    </row>
    <row r="43" spans="1:8" x14ac:dyDescent="0.15">
      <c r="A43" s="249">
        <v>42</v>
      </c>
      <c r="B43" s="1" t="s">
        <v>362</v>
      </c>
      <c r="C43" s="1" t="s">
        <v>514</v>
      </c>
      <c r="D43" s="1" t="s">
        <v>363</v>
      </c>
      <c r="E43" s="1" t="s">
        <v>562</v>
      </c>
      <c r="F43" s="1" t="s">
        <v>688</v>
      </c>
      <c r="G43" s="38" t="str">
        <f>IF(VLOOKUP(B43,'비품현황표(전체)'!$A$1:$F$273,6,FALSE)=0,"",VLOOKUP(B43,'비품현황표(전체)'!$A$1:$F$273,6,FALSE))</f>
        <v/>
      </c>
      <c r="H43" s="255">
        <v>1</v>
      </c>
    </row>
    <row r="44" spans="1:8" x14ac:dyDescent="0.15">
      <c r="A44" s="249">
        <v>43</v>
      </c>
      <c r="B44" s="2" t="s">
        <v>360</v>
      </c>
      <c r="C44" s="2" t="s">
        <v>513</v>
      </c>
      <c r="D44" s="2" t="s">
        <v>361</v>
      </c>
      <c r="E44" s="2" t="s">
        <v>562</v>
      </c>
      <c r="F44" s="2" t="s">
        <v>688</v>
      </c>
      <c r="G44" s="38" t="str">
        <f>IF(VLOOKUP(B44,'비품현황표(전체)'!$A$1:$F$273,6,FALSE)=0,"",VLOOKUP(B44,'비품현황표(전체)'!$A$1:$F$273,6,FALSE))</f>
        <v/>
      </c>
      <c r="H44" s="256">
        <v>1</v>
      </c>
    </row>
    <row r="45" spans="1:8" x14ac:dyDescent="0.15">
      <c r="A45" s="249">
        <v>44</v>
      </c>
      <c r="B45" s="2" t="s">
        <v>364</v>
      </c>
      <c r="C45" s="2" t="s">
        <v>515</v>
      </c>
      <c r="D45" s="2" t="s">
        <v>365</v>
      </c>
      <c r="E45" s="2" t="s">
        <v>562</v>
      </c>
      <c r="F45" s="2" t="s">
        <v>688</v>
      </c>
      <c r="G45" s="38" t="str">
        <f>IF(VLOOKUP(B45,'비품현황표(전체)'!$A$1:$F$273,6,FALSE)=0,"",VLOOKUP(B45,'비품현황표(전체)'!$A$1:$F$273,6,FALSE))</f>
        <v/>
      </c>
      <c r="H45" s="256">
        <v>1</v>
      </c>
    </row>
    <row r="46" spans="1:8" x14ac:dyDescent="0.15">
      <c r="A46" s="249">
        <v>45</v>
      </c>
      <c r="B46" s="1" t="s">
        <v>53</v>
      </c>
      <c r="C46" s="1" t="s">
        <v>420</v>
      </c>
      <c r="D46" s="1" t="s">
        <v>130</v>
      </c>
      <c r="E46" s="1" t="s">
        <v>556</v>
      </c>
      <c r="F46" s="1" t="s">
        <v>647</v>
      </c>
      <c r="G46" s="38" t="str">
        <f>IF(VLOOKUP(B46,'비품현황표(전체)'!$A$1:$F$273,6,FALSE)=0,"",VLOOKUP(B46,'비품현황표(전체)'!$A$1:$F$273,6,FALSE))</f>
        <v/>
      </c>
      <c r="H46" s="255">
        <v>5</v>
      </c>
    </row>
    <row r="47" spans="1:8" x14ac:dyDescent="0.15">
      <c r="A47" s="249">
        <v>46</v>
      </c>
      <c r="B47" s="25" t="s">
        <v>1131</v>
      </c>
      <c r="C47" s="2" t="s">
        <v>1132</v>
      </c>
      <c r="D47" s="2" t="s">
        <v>1133</v>
      </c>
      <c r="E47" s="2" t="s">
        <v>556</v>
      </c>
      <c r="F47" s="2" t="s">
        <v>1134</v>
      </c>
      <c r="G47" s="43"/>
      <c r="H47" s="255">
        <v>10</v>
      </c>
    </row>
    <row r="48" spans="1:8" x14ac:dyDescent="0.15">
      <c r="A48" s="249">
        <v>47</v>
      </c>
      <c r="B48" s="13" t="s">
        <v>63</v>
      </c>
      <c r="C48" s="11" t="s">
        <v>422</v>
      </c>
      <c r="D48" s="11" t="s">
        <v>169</v>
      </c>
      <c r="E48" s="11" t="s">
        <v>556</v>
      </c>
      <c r="F48" s="11" t="s">
        <v>692</v>
      </c>
      <c r="G48" s="38" t="str">
        <f>IF(VLOOKUP(B48,'비품현황표(전체)'!$A$1:$F$273,6,FALSE)=0,"",VLOOKUP(B48,'비품현황표(전체)'!$A$1:$F$273,6,FALSE))</f>
        <v>유사모양</v>
      </c>
      <c r="H48" s="257">
        <v>3</v>
      </c>
    </row>
    <row r="49" spans="1:8" x14ac:dyDescent="0.15">
      <c r="A49" s="249">
        <v>48</v>
      </c>
      <c r="B49" s="13" t="s">
        <v>121</v>
      </c>
      <c r="C49" s="11" t="s">
        <v>519</v>
      </c>
      <c r="D49" s="11" t="s">
        <v>120</v>
      </c>
      <c r="E49" s="11" t="s">
        <v>594</v>
      </c>
      <c r="F49" s="11" t="s">
        <v>693</v>
      </c>
      <c r="G49" s="38" t="str">
        <f>IF(VLOOKUP(B49,'비품현황표(전체)'!$A$1:$F$273,6,FALSE)=0,"",VLOOKUP(B49,'비품현황표(전체)'!$A$1:$F$273,6,FALSE))</f>
        <v>용량고주의</v>
      </c>
      <c r="H49" s="257">
        <v>3</v>
      </c>
    </row>
    <row r="50" spans="1:8" x14ac:dyDescent="0.15">
      <c r="A50" s="249">
        <v>49</v>
      </c>
      <c r="B50" s="1" t="s">
        <v>293</v>
      </c>
      <c r="C50" s="1" t="s">
        <v>520</v>
      </c>
      <c r="D50" s="1" t="s">
        <v>294</v>
      </c>
      <c r="E50" s="1" t="s">
        <v>562</v>
      </c>
      <c r="F50" s="1" t="s">
        <v>694</v>
      </c>
      <c r="G50" s="38" t="str">
        <f>IF(VLOOKUP(B50,'비품현황표(전체)'!$A$1:$F$273,6,FALSE)=0,"",VLOOKUP(B50,'비품현황표(전체)'!$A$1:$F$273,6,FALSE))</f>
        <v/>
      </c>
      <c r="H50" s="255">
        <v>6</v>
      </c>
    </row>
    <row r="51" spans="1:8" x14ac:dyDescent="0.15">
      <c r="A51" s="249">
        <v>50</v>
      </c>
      <c r="B51" s="254" t="s">
        <v>29</v>
      </c>
      <c r="C51" s="1" t="s">
        <v>427</v>
      </c>
      <c r="D51" s="1" t="s">
        <v>171</v>
      </c>
      <c r="E51" s="1" t="s">
        <v>556</v>
      </c>
      <c r="F51" s="1" t="s">
        <v>696</v>
      </c>
      <c r="G51" s="38" t="str">
        <f>IF(VLOOKUP(B51,'비품현황표(전체)'!$A$1:$F$273,6,FALSE)=0,"",VLOOKUP(B51,'비품현황표(전체)'!$A$1:$F$273,6,FALSE))</f>
        <v/>
      </c>
      <c r="H51" s="255">
        <v>5</v>
      </c>
    </row>
    <row r="52" spans="1:8" x14ac:dyDescent="0.15">
      <c r="A52" s="249">
        <v>51</v>
      </c>
      <c r="B52" s="254" t="s">
        <v>125</v>
      </c>
      <c r="C52" s="263" t="s">
        <v>522</v>
      </c>
      <c r="D52" s="263" t="s">
        <v>122</v>
      </c>
      <c r="E52" s="1" t="s">
        <v>573</v>
      </c>
      <c r="F52" s="1" t="s">
        <v>697</v>
      </c>
      <c r="G52" s="38" t="str">
        <f>IF(VLOOKUP(B52,'비품현황표(전체)'!$A$1:$F$273,6,FALSE)=0,"",VLOOKUP(B52,'비품현황표(전체)'!$A$1:$F$273,6,FALSE))</f>
        <v/>
      </c>
      <c r="H52" s="255">
        <v>5</v>
      </c>
    </row>
    <row r="53" spans="1:8" x14ac:dyDescent="0.15">
      <c r="A53" s="249">
        <v>52</v>
      </c>
      <c r="B53" s="254" t="s">
        <v>345</v>
      </c>
      <c r="C53" s="1" t="s">
        <v>431</v>
      </c>
      <c r="D53" s="1" t="s">
        <v>349</v>
      </c>
      <c r="E53" s="1" t="s">
        <v>562</v>
      </c>
      <c r="F53" s="1" t="s">
        <v>634</v>
      </c>
      <c r="G53" s="38" t="str">
        <f>IF(VLOOKUP(B53,'비품현황표(전체)'!$A$1:$F$273,6,FALSE)=0,"",VLOOKUP(B53,'비품현황표(전체)'!$A$1:$F$273,6,FALSE))</f>
        <v/>
      </c>
      <c r="H53" s="255">
        <v>3</v>
      </c>
    </row>
    <row r="54" spans="1:8" x14ac:dyDescent="0.15">
      <c r="A54" s="249">
        <v>53</v>
      </c>
      <c r="B54" s="254" t="s">
        <v>346</v>
      </c>
      <c r="C54" s="1" t="s">
        <v>432</v>
      </c>
      <c r="D54" s="1" t="s">
        <v>350</v>
      </c>
      <c r="E54" s="1" t="s">
        <v>562</v>
      </c>
      <c r="F54" s="1" t="s">
        <v>634</v>
      </c>
      <c r="G54" s="38" t="str">
        <f>IF(VLOOKUP(B54,'비품현황표(전체)'!$A$1:$F$273,6,FALSE)=0,"",VLOOKUP(B54,'비품현황표(전체)'!$A$1:$F$273,6,FALSE))</f>
        <v/>
      </c>
      <c r="H54" s="255">
        <v>3</v>
      </c>
    </row>
    <row r="55" spans="1:8" x14ac:dyDescent="0.15">
      <c r="A55" s="249">
        <v>54</v>
      </c>
      <c r="B55" s="254" t="s">
        <v>347</v>
      </c>
      <c r="C55" s="1" t="s">
        <v>433</v>
      </c>
      <c r="D55" s="1" t="s">
        <v>351</v>
      </c>
      <c r="E55" s="1" t="s">
        <v>562</v>
      </c>
      <c r="F55" s="1" t="s">
        <v>634</v>
      </c>
      <c r="G55" s="38" t="str">
        <f>IF(VLOOKUP(B55,'비품현황표(전체)'!$A$1:$F$273,6,FALSE)=0,"",VLOOKUP(B55,'비품현황표(전체)'!$A$1:$F$273,6,FALSE))</f>
        <v/>
      </c>
      <c r="H55" s="255">
        <v>3</v>
      </c>
    </row>
    <row r="56" spans="1:8" x14ac:dyDescent="0.15">
      <c r="A56" s="249">
        <v>55</v>
      </c>
      <c r="B56" s="254" t="s">
        <v>348</v>
      </c>
      <c r="C56" s="1" t="s">
        <v>434</v>
      </c>
      <c r="D56" s="1" t="s">
        <v>352</v>
      </c>
      <c r="E56" s="1" t="s">
        <v>562</v>
      </c>
      <c r="F56" s="1" t="s">
        <v>634</v>
      </c>
      <c r="G56" s="38" t="str">
        <f>IF(VLOOKUP(B56,'비품현황표(전체)'!$A$1:$F$273,6,FALSE)=0,"",VLOOKUP(B56,'비품현황표(전체)'!$A$1:$F$273,6,FALSE))</f>
        <v/>
      </c>
      <c r="H56" s="255">
        <v>3</v>
      </c>
    </row>
    <row r="57" spans="1:8" x14ac:dyDescent="0.15">
      <c r="A57" s="249">
        <v>56</v>
      </c>
      <c r="B57" s="322" t="s">
        <v>1293</v>
      </c>
      <c r="C57" s="1"/>
      <c r="D57" s="1" t="s">
        <v>1294</v>
      </c>
      <c r="E57" s="1"/>
      <c r="F57" s="323" t="s">
        <v>1295</v>
      </c>
      <c r="G57" s="38"/>
      <c r="H57" s="255">
        <v>3</v>
      </c>
    </row>
    <row r="58" spans="1:8" x14ac:dyDescent="0.15">
      <c r="A58" s="249">
        <v>57</v>
      </c>
      <c r="B58" s="25" t="s">
        <v>1203</v>
      </c>
      <c r="C58" s="8"/>
      <c r="D58" s="8" t="s">
        <v>1204</v>
      </c>
      <c r="E58" s="2"/>
      <c r="F58" s="71" t="s">
        <v>655</v>
      </c>
      <c r="G58" s="38"/>
      <c r="H58" s="255">
        <v>1</v>
      </c>
    </row>
    <row r="59" spans="1:8" x14ac:dyDescent="0.15">
      <c r="A59" s="249">
        <v>58</v>
      </c>
      <c r="B59" s="1" t="s">
        <v>289</v>
      </c>
      <c r="C59" s="1" t="s">
        <v>523</v>
      </c>
      <c r="D59" s="1" t="s">
        <v>290</v>
      </c>
      <c r="E59" s="1" t="s">
        <v>598</v>
      </c>
      <c r="F59" s="1" t="s">
        <v>699</v>
      </c>
      <c r="G59" s="38" t="str">
        <f>IF(VLOOKUP(B59,'비품현황표(전체)'!$A$1:$F$273,6,FALSE)=0,"",VLOOKUP(B59,'비품현황표(전체)'!$A$1:$F$273,6,FALSE))</f>
        <v/>
      </c>
      <c r="H59" s="255">
        <v>2</v>
      </c>
    </row>
    <row r="60" spans="1:8" x14ac:dyDescent="0.15">
      <c r="A60" s="249">
        <v>59</v>
      </c>
      <c r="B60" s="254" t="s">
        <v>1095</v>
      </c>
      <c r="C60" s="1" t="s">
        <v>521</v>
      </c>
      <c r="D60" s="1" t="s">
        <v>923</v>
      </c>
      <c r="E60" s="1" t="s">
        <v>596</v>
      </c>
      <c r="F60" s="1" t="s">
        <v>695</v>
      </c>
      <c r="G60" s="38" t="str">
        <f>IF(VLOOKUP(B60,'비품현황표(전체)'!$A$1:$F$273,6,FALSE)=0,"",VLOOKUP(B60,'비품현황표(전체)'!$A$1:$F$273,6,FALSE))</f>
        <v/>
      </c>
      <c r="H60" s="255">
        <v>10</v>
      </c>
    </row>
    <row r="61" spans="1:8" x14ac:dyDescent="0.15">
      <c r="A61" s="249">
        <v>60</v>
      </c>
      <c r="B61" s="254" t="s">
        <v>335</v>
      </c>
      <c r="C61" s="1" t="s">
        <v>526</v>
      </c>
      <c r="D61" s="1" t="s">
        <v>281</v>
      </c>
      <c r="E61" s="1" t="s">
        <v>605</v>
      </c>
      <c r="F61" s="1" t="s">
        <v>705</v>
      </c>
      <c r="G61" s="38" t="str">
        <f>IF(VLOOKUP(B61,'비품현황표(전체)'!$A$1:$F$273,6,FALSE)=0,"",VLOOKUP(B61,'비품현황표(전체)'!$A$1:$F$273,6,FALSE))</f>
        <v/>
      </c>
      <c r="H61" s="255">
        <v>2</v>
      </c>
    </row>
    <row r="62" spans="1:8" x14ac:dyDescent="0.15">
      <c r="A62" s="249">
        <v>61</v>
      </c>
      <c r="B62" s="254" t="s">
        <v>302</v>
      </c>
      <c r="C62" s="1" t="s">
        <v>527</v>
      </c>
      <c r="D62" s="1" t="s">
        <v>303</v>
      </c>
      <c r="E62" s="1" t="s">
        <v>577</v>
      </c>
      <c r="F62" s="1" t="s">
        <v>706</v>
      </c>
      <c r="G62" s="38" t="str">
        <f>IF(VLOOKUP(B62,'비품현황표(전체)'!$A$1:$F$273,6,FALSE)=0,"",VLOOKUP(B62,'비품현황표(전체)'!$A$1:$F$273,6,FALSE))</f>
        <v/>
      </c>
      <c r="H62" s="255">
        <v>1</v>
      </c>
    </row>
    <row r="63" spans="1:8" x14ac:dyDescent="0.15">
      <c r="A63" s="249">
        <v>62</v>
      </c>
      <c r="B63" s="24" t="s">
        <v>1207</v>
      </c>
      <c r="C63" s="2" t="s">
        <v>801</v>
      </c>
      <c r="D63" s="2" t="s">
        <v>1208</v>
      </c>
      <c r="E63" s="1" t="s">
        <v>562</v>
      </c>
      <c r="F63" s="1" t="s">
        <v>707</v>
      </c>
      <c r="G63" s="38" t="str">
        <f>IF(VLOOKUP(B63,'비품현황표(전체)'!$A$1:$F$273,6,FALSE)=0,"",VLOOKUP(B63,'비품현황표(전체)'!$A$1:$F$273,6,FALSE))</f>
        <v/>
      </c>
      <c r="H63" s="255">
        <v>2</v>
      </c>
    </row>
    <row r="64" spans="1:8" x14ac:dyDescent="0.15">
      <c r="A64" s="249">
        <v>63</v>
      </c>
      <c r="B64" s="25" t="s">
        <v>1205</v>
      </c>
      <c r="C64" s="25" t="s">
        <v>444</v>
      </c>
      <c r="D64" s="2" t="s">
        <v>1206</v>
      </c>
      <c r="E64" s="2" t="s">
        <v>562</v>
      </c>
      <c r="F64" s="2" t="s">
        <v>707</v>
      </c>
      <c r="G64" s="38"/>
      <c r="H64" s="255">
        <v>2</v>
      </c>
    </row>
    <row r="65" spans="1:8" x14ac:dyDescent="0.15">
      <c r="A65" s="249">
        <v>64</v>
      </c>
      <c r="B65" s="1" t="s">
        <v>97</v>
      </c>
      <c r="C65" s="1" t="s">
        <v>813</v>
      </c>
      <c r="D65" s="264" t="s">
        <v>200</v>
      </c>
      <c r="E65" s="1" t="s">
        <v>606</v>
      </c>
      <c r="F65" s="1" t="s">
        <v>708</v>
      </c>
      <c r="G65" s="38" t="str">
        <f>IF(VLOOKUP(B65,'비품현황표(전체)'!$A$1:$F$273,6,FALSE)=0,"",VLOOKUP(B65,'비품현황표(전체)'!$A$1:$F$273,6,FALSE))</f>
        <v/>
      </c>
      <c r="H65" s="255">
        <v>2</v>
      </c>
    </row>
    <row r="66" spans="1:8" x14ac:dyDescent="0.15">
      <c r="A66" s="249">
        <v>65</v>
      </c>
      <c r="B66" s="25" t="s">
        <v>1374</v>
      </c>
      <c r="C66" s="2"/>
      <c r="D66" s="2" t="s">
        <v>1375</v>
      </c>
      <c r="E66" s="2"/>
      <c r="F66" s="2" t="s">
        <v>1376</v>
      </c>
      <c r="G66" s="38"/>
      <c r="H66" s="255">
        <v>10</v>
      </c>
    </row>
    <row r="67" spans="1:8" x14ac:dyDescent="0.15">
      <c r="A67" s="249">
        <v>66</v>
      </c>
      <c r="B67" s="25" t="s">
        <v>1288</v>
      </c>
      <c r="C67" s="2"/>
      <c r="D67" s="2" t="s">
        <v>1289</v>
      </c>
      <c r="E67" s="2"/>
      <c r="F67" s="2" t="s">
        <v>1290</v>
      </c>
      <c r="G67" s="38"/>
      <c r="H67" s="255">
        <v>5</v>
      </c>
    </row>
    <row r="68" spans="1:8" x14ac:dyDescent="0.15">
      <c r="A68" s="249">
        <v>67</v>
      </c>
      <c r="B68" s="1" t="s">
        <v>314</v>
      </c>
      <c r="C68" s="1" t="s">
        <v>529</v>
      </c>
      <c r="D68" s="1" t="s">
        <v>315</v>
      </c>
      <c r="E68" s="1" t="s">
        <v>563</v>
      </c>
      <c r="F68" s="1" t="s">
        <v>713</v>
      </c>
      <c r="G68" s="38" t="str">
        <f>IF(VLOOKUP(B68,'비품현황표(전체)'!$A$1:$F$273,6,FALSE)=0,"",VLOOKUP(B68,'비품현황표(전체)'!$A$1:$F$273,6,FALSE))</f>
        <v/>
      </c>
      <c r="H68" s="255">
        <v>3</v>
      </c>
    </row>
    <row r="69" spans="1:8" x14ac:dyDescent="0.15">
      <c r="A69" s="249">
        <v>68</v>
      </c>
      <c r="B69" s="5" t="s">
        <v>234</v>
      </c>
      <c r="C69" s="2" t="s">
        <v>452</v>
      </c>
      <c r="D69" s="2" t="s">
        <v>136</v>
      </c>
      <c r="E69" s="2" t="s">
        <v>560</v>
      </c>
      <c r="F69" s="2" t="s">
        <v>640</v>
      </c>
      <c r="G69" s="38" t="str">
        <f>IF(VLOOKUP(B69,'비품현황표(전체)'!$A$1:$F$273,6,FALSE)=0,"",VLOOKUP(B69,'비품현황표(전체)'!$A$1:$F$273,6,FALSE))</f>
        <v/>
      </c>
      <c r="H69" s="256">
        <v>5</v>
      </c>
    </row>
    <row r="70" spans="1:8" x14ac:dyDescent="0.15">
      <c r="A70" s="249">
        <v>69</v>
      </c>
      <c r="B70" s="24" t="s">
        <v>1285</v>
      </c>
      <c r="C70" s="8"/>
      <c r="D70" s="8" t="s">
        <v>1286</v>
      </c>
      <c r="E70" s="2"/>
      <c r="F70" s="71" t="s">
        <v>729</v>
      </c>
      <c r="G70" s="38"/>
      <c r="H70" s="256">
        <v>2</v>
      </c>
    </row>
    <row r="71" spans="1:8" x14ac:dyDescent="0.15">
      <c r="A71" s="249">
        <v>70</v>
      </c>
      <c r="B71" s="1" t="s">
        <v>102</v>
      </c>
      <c r="C71" s="1" t="s">
        <v>103</v>
      </c>
      <c r="D71" s="1" t="s">
        <v>104</v>
      </c>
      <c r="E71" s="1" t="s">
        <v>554</v>
      </c>
      <c r="F71" s="1" t="s">
        <v>723</v>
      </c>
      <c r="G71" s="38" t="str">
        <f>IF(VLOOKUP(B71,'비품현황표(전체)'!$A$1:$F$273,6,FALSE)=0,"",VLOOKUP(B71,'비품현황표(전체)'!$A$1:$F$273,6,FALSE))</f>
        <v/>
      </c>
      <c r="H71" s="255">
        <v>1</v>
      </c>
    </row>
    <row r="72" spans="1:8" x14ac:dyDescent="0.15">
      <c r="A72" s="249">
        <v>71</v>
      </c>
      <c r="B72" s="25" t="s">
        <v>1043</v>
      </c>
      <c r="C72" s="2" t="s">
        <v>1045</v>
      </c>
      <c r="D72" s="2" t="s">
        <v>1047</v>
      </c>
      <c r="E72" s="2" t="s">
        <v>1048</v>
      </c>
      <c r="F72" s="2" t="s">
        <v>1049</v>
      </c>
      <c r="G72" s="38"/>
      <c r="H72" s="255">
        <v>2</v>
      </c>
    </row>
    <row r="73" spans="1:8" x14ac:dyDescent="0.15">
      <c r="A73" s="249">
        <v>72</v>
      </c>
      <c r="B73" s="2" t="s">
        <v>1024</v>
      </c>
      <c r="C73" s="2" t="s">
        <v>1026</v>
      </c>
      <c r="D73" s="2" t="s">
        <v>1025</v>
      </c>
      <c r="E73" s="2" t="s">
        <v>1027</v>
      </c>
      <c r="F73" s="262" t="s">
        <v>1028</v>
      </c>
      <c r="G73" s="38" t="str">
        <f>IF(VLOOKUP(B73,'비품현황표(전체)'!$A$1:$F$273,6,FALSE)=0,"",VLOOKUP(B73,'비품현황표(전체)'!$A$1:$F$273,6,FALSE))</f>
        <v/>
      </c>
      <c r="H73" s="255">
        <v>8</v>
      </c>
    </row>
    <row r="74" spans="1:8" x14ac:dyDescent="0.15">
      <c r="A74" s="249">
        <v>73</v>
      </c>
      <c r="B74" s="1" t="s">
        <v>279</v>
      </c>
      <c r="C74" s="1" t="s">
        <v>537</v>
      </c>
      <c r="D74" s="1" t="s">
        <v>280</v>
      </c>
      <c r="E74" s="1" t="s">
        <v>582</v>
      </c>
      <c r="F74" s="1" t="s">
        <v>734</v>
      </c>
      <c r="G74" s="38" t="str">
        <f>IF(VLOOKUP(B74,'비품현황표(전체)'!$A$1:$F$273,6,FALSE)=0,"",VLOOKUP(B74,'비품현황표(전체)'!$A$1:$F$273,6,FALSE))</f>
        <v/>
      </c>
      <c r="H74" s="255">
        <v>3</v>
      </c>
    </row>
    <row r="75" spans="1:8" x14ac:dyDescent="0.15">
      <c r="A75" s="249">
        <v>74</v>
      </c>
      <c r="B75" s="254" t="s">
        <v>41</v>
      </c>
      <c r="C75" s="1" t="s">
        <v>468</v>
      </c>
      <c r="D75" s="1" t="s">
        <v>179</v>
      </c>
      <c r="E75" s="1" t="s">
        <v>556</v>
      </c>
      <c r="F75" s="1" t="s">
        <v>735</v>
      </c>
      <c r="G75" s="38" t="str">
        <f>IF(VLOOKUP(B75,'비품현황표(전체)'!$A$1:$F$273,6,FALSE)=0,"",VLOOKUP(B75,'비품현황표(전체)'!$A$1:$F$273,6,FALSE))</f>
        <v/>
      </c>
      <c r="H75" s="255">
        <v>4</v>
      </c>
    </row>
    <row r="76" spans="1:8" x14ac:dyDescent="0.15">
      <c r="A76" s="249">
        <v>75</v>
      </c>
      <c r="B76" s="24" t="s">
        <v>880</v>
      </c>
      <c r="C76" s="2" t="s">
        <v>881</v>
      </c>
      <c r="D76" s="2" t="s">
        <v>882</v>
      </c>
      <c r="E76" s="2" t="s">
        <v>806</v>
      </c>
      <c r="F76" s="2" t="s">
        <v>884</v>
      </c>
      <c r="G76" s="38"/>
      <c r="H76" s="255">
        <v>2</v>
      </c>
    </row>
    <row r="77" spans="1:8" x14ac:dyDescent="0.15">
      <c r="A77" s="249">
        <v>76</v>
      </c>
      <c r="B77" s="24" t="s">
        <v>1362</v>
      </c>
      <c r="C77" s="2"/>
      <c r="D77" s="2" t="s">
        <v>1363</v>
      </c>
      <c r="E77" s="2"/>
      <c r="F77" s="2" t="s">
        <v>1260</v>
      </c>
      <c r="G77" s="38" t="str">
        <f>IF(VLOOKUP(B77,'비품현황표(전체)'!$A$1:$F$273,6,FALSE)=0,"",VLOOKUP(B77,'비품현황표(전체)'!$A$1:$F$273,6,FALSE))</f>
        <v/>
      </c>
      <c r="H77" s="255">
        <v>2</v>
      </c>
    </row>
    <row r="78" spans="1:8" x14ac:dyDescent="0.15">
      <c r="A78" s="249">
        <v>77</v>
      </c>
      <c r="B78" s="254" t="s">
        <v>43</v>
      </c>
      <c r="C78" s="261" t="s">
        <v>476</v>
      </c>
      <c r="D78" s="261" t="s">
        <v>140</v>
      </c>
      <c r="E78" s="261" t="s">
        <v>556</v>
      </c>
      <c r="F78" s="261" t="s">
        <v>639</v>
      </c>
      <c r="G78" s="38" t="str">
        <f>IF(VLOOKUP(B78,'비품현황표(전체)'!$A$1:$F$273,6,FALSE)=0,"",VLOOKUP(B78,'비품현황표(전체)'!$A$1:$F$273,6,FALSE))</f>
        <v/>
      </c>
      <c r="H78" s="255">
        <v>2</v>
      </c>
    </row>
    <row r="79" spans="1:8" x14ac:dyDescent="0.15">
      <c r="A79" s="249">
        <v>78</v>
      </c>
      <c r="B79" s="254" t="s">
        <v>27</v>
      </c>
      <c r="C79" s="261" t="s">
        <v>475</v>
      </c>
      <c r="D79" s="261" t="s">
        <v>135</v>
      </c>
      <c r="E79" s="261" t="s">
        <v>556</v>
      </c>
      <c r="F79" s="261" t="s">
        <v>639</v>
      </c>
      <c r="G79" s="38" t="str">
        <f>IF(VLOOKUP(B79,'비품현황표(전체)'!$A$1:$F$273,6,FALSE)=0,"",VLOOKUP(B79,'비품현황표(전체)'!$A$1:$F$273,6,FALSE))</f>
        <v/>
      </c>
      <c r="H79" s="255">
        <v>5</v>
      </c>
    </row>
    <row r="80" spans="1:8" x14ac:dyDescent="0.15">
      <c r="A80" s="249">
        <v>79</v>
      </c>
      <c r="B80" s="254" t="s">
        <v>45</v>
      </c>
      <c r="C80" s="1" t="s">
        <v>481</v>
      </c>
      <c r="D80" s="1" t="s">
        <v>180</v>
      </c>
      <c r="E80" s="1" t="s">
        <v>559</v>
      </c>
      <c r="F80" s="1" t="s">
        <v>742</v>
      </c>
      <c r="G80" s="38" t="str">
        <f>IF(VLOOKUP(B80,'비품현황표(전체)'!$A$1:$F$273,6,FALSE)=0,"",VLOOKUP(B80,'비품현황표(전체)'!$A$1:$F$273,6,FALSE))</f>
        <v/>
      </c>
      <c r="H80" s="255">
        <v>10</v>
      </c>
    </row>
    <row r="81" spans="1:8" x14ac:dyDescent="0.15">
      <c r="A81" s="249">
        <v>80</v>
      </c>
      <c r="B81" s="254" t="s">
        <v>127</v>
      </c>
      <c r="C81" s="1" t="s">
        <v>485</v>
      </c>
      <c r="D81" s="1" t="s">
        <v>126</v>
      </c>
      <c r="E81" s="1" t="s">
        <v>621</v>
      </c>
      <c r="F81" s="1" t="s">
        <v>745</v>
      </c>
      <c r="G81" s="38" t="str">
        <f>IF(VLOOKUP(B81,'비품현황표(전체)'!$A$1:$F$273,6,FALSE)=0,"",VLOOKUP(B81,'비품현황표(전체)'!$A$1:$F$273,6,FALSE))</f>
        <v/>
      </c>
      <c r="H81" s="255">
        <v>2</v>
      </c>
    </row>
    <row r="82" spans="1:8" x14ac:dyDescent="0.15">
      <c r="A82" s="249">
        <v>81</v>
      </c>
      <c r="B82" s="24" t="s">
        <v>1381</v>
      </c>
      <c r="C82" s="2"/>
      <c r="D82" s="2" t="s">
        <v>1382</v>
      </c>
      <c r="E82" s="1"/>
      <c r="F82" s="333" t="s">
        <v>1383</v>
      </c>
      <c r="G82" s="38"/>
      <c r="H82" s="255">
        <v>3</v>
      </c>
    </row>
    <row r="83" spans="1:8" x14ac:dyDescent="0.15">
      <c r="A83" s="249">
        <v>82</v>
      </c>
      <c r="B83" s="254" t="s">
        <v>1030</v>
      </c>
      <c r="C83" s="1"/>
      <c r="D83" s="1" t="s">
        <v>1029</v>
      </c>
      <c r="E83" s="1"/>
      <c r="F83" s="1" t="s">
        <v>1031</v>
      </c>
      <c r="G83" s="38" t="str">
        <f>IF(VLOOKUP(B83,'비품현황표(전체)'!$A$1:$F$273,6,FALSE)=0,"",VLOOKUP(B83,'비품현황표(전체)'!$A$1:$F$273,6,FALSE))</f>
        <v/>
      </c>
      <c r="H83" s="255">
        <v>10</v>
      </c>
    </row>
    <row r="84" spans="1:8" x14ac:dyDescent="0.15">
      <c r="A84" s="249">
        <v>83</v>
      </c>
      <c r="B84" s="254" t="s">
        <v>5</v>
      </c>
      <c r="C84" s="1" t="s">
        <v>488</v>
      </c>
      <c r="D84" s="1" t="s">
        <v>206</v>
      </c>
      <c r="E84" s="1" t="s">
        <v>562</v>
      </c>
      <c r="F84" s="1" t="s">
        <v>748</v>
      </c>
      <c r="G84" s="38" t="str">
        <f>IF(VLOOKUP(B84,'비품현황표(전체)'!$A$1:$F$273,6,FALSE)=0,"",VLOOKUP(B84,'비품현황표(전체)'!$A$1:$F$273,6,FALSE))</f>
        <v/>
      </c>
      <c r="H84" s="255">
        <v>1</v>
      </c>
    </row>
    <row r="85" spans="1:8" x14ac:dyDescent="0.15">
      <c r="A85" s="81"/>
      <c r="B85" s="81"/>
      <c r="C85" s="81"/>
      <c r="D85" s="93" t="s">
        <v>804</v>
      </c>
      <c r="E85" s="81"/>
      <c r="F85" s="106"/>
      <c r="G85" s="81"/>
      <c r="H85" s="110">
        <v>83</v>
      </c>
    </row>
    <row r="86" spans="1:8" x14ac:dyDescent="0.15">
      <c r="F86" s="36"/>
    </row>
  </sheetData>
  <phoneticPr fontId="1" type="noConversion"/>
  <conditionalFormatting sqref="G40:G46 G2:G38 G48:G84">
    <cfRule type="containsText" dxfId="57" priority="27" operator="containsText" text="유사">
      <formula>NOT(ISERROR(SEARCH("유사",G2)))</formula>
    </cfRule>
    <cfRule type="containsText" priority="28" operator="containsText" text="유사 용량">
      <formula>NOT(ISERROR(SEARCH("유사 용량",G2)))</formula>
    </cfRule>
    <cfRule type="containsText" dxfId="56" priority="29" operator="containsText" text="혼돈주의약품, 유사모양, 유사발음">
      <formula>NOT(ISERROR(SEARCH("혼돈주의약품, 유사모양, 유사발음",G2)))</formula>
    </cfRule>
  </conditionalFormatting>
  <conditionalFormatting sqref="B27">
    <cfRule type="duplicateValues" dxfId="55" priority="26"/>
  </conditionalFormatting>
  <conditionalFormatting sqref="B35">
    <cfRule type="duplicateValues" dxfId="54" priority="25"/>
  </conditionalFormatting>
  <conditionalFormatting sqref="B12">
    <cfRule type="duplicateValues" dxfId="53" priority="24"/>
  </conditionalFormatting>
  <conditionalFormatting sqref="B73">
    <cfRule type="duplicateValues" dxfId="52" priority="23"/>
  </conditionalFormatting>
  <conditionalFormatting sqref="B28">
    <cfRule type="duplicateValues" dxfId="51" priority="22"/>
  </conditionalFormatting>
  <conditionalFormatting sqref="B72">
    <cfRule type="duplicateValues" dxfId="50" priority="20"/>
  </conditionalFormatting>
  <conditionalFormatting sqref="B47">
    <cfRule type="duplicateValues" dxfId="49" priority="19"/>
  </conditionalFormatting>
  <conditionalFormatting sqref="B34">
    <cfRule type="duplicateValues" dxfId="48" priority="18"/>
  </conditionalFormatting>
  <conditionalFormatting sqref="B76">
    <cfRule type="duplicateValues" dxfId="47" priority="15"/>
  </conditionalFormatting>
  <conditionalFormatting sqref="B26">
    <cfRule type="duplicateValues" dxfId="46" priority="14"/>
  </conditionalFormatting>
  <conditionalFormatting sqref="B30">
    <cfRule type="duplicateValues" dxfId="45" priority="13"/>
  </conditionalFormatting>
  <conditionalFormatting sqref="B58">
    <cfRule type="duplicateValues" dxfId="44" priority="12"/>
  </conditionalFormatting>
  <conditionalFormatting sqref="B63:B64">
    <cfRule type="duplicateValues" dxfId="43" priority="11"/>
  </conditionalFormatting>
  <conditionalFormatting sqref="B77">
    <cfRule type="duplicateValues" dxfId="42" priority="10"/>
  </conditionalFormatting>
  <conditionalFormatting sqref="B70">
    <cfRule type="duplicateValues" dxfId="41" priority="9"/>
  </conditionalFormatting>
  <conditionalFormatting sqref="B67">
    <cfRule type="duplicateValues" dxfId="40" priority="8"/>
  </conditionalFormatting>
  <conditionalFormatting sqref="B19">
    <cfRule type="duplicateValues" dxfId="39" priority="7"/>
  </conditionalFormatting>
  <conditionalFormatting sqref="B4:B5">
    <cfRule type="duplicateValues" dxfId="38" priority="6"/>
  </conditionalFormatting>
  <conditionalFormatting sqref="B38">
    <cfRule type="duplicateValues" dxfId="37" priority="5"/>
  </conditionalFormatting>
  <conditionalFormatting sqref="B13">
    <cfRule type="duplicateValues" dxfId="36" priority="4"/>
  </conditionalFormatting>
  <conditionalFormatting sqref="B66">
    <cfRule type="duplicateValues" dxfId="35" priority="3"/>
  </conditionalFormatting>
  <conditionalFormatting sqref="B82">
    <cfRule type="duplicateValues" dxfId="34" priority="2"/>
  </conditionalFormatting>
  <conditionalFormatting sqref="B37">
    <cfRule type="duplicateValues" dxfId="33" priority="1"/>
  </conditionalFormatting>
  <pageMargins left="0.7" right="0.7" top="0.75" bottom="0.75" header="0.3" footer="0.3"/>
  <pageSetup paperSize="9" orientation="portrait" r:id="rId1"/>
  <headerFooter>
    <oddHeader>&amp;C&amp;"돋움,굵게"외래주사실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9"/>
  <sheetViews>
    <sheetView view="pageLayout" zoomScaleNormal="100" workbookViewId="0">
      <selection activeCell="H9" sqref="H9"/>
    </sheetView>
  </sheetViews>
  <sheetFormatPr defaultRowHeight="13.5" x14ac:dyDescent="0.15"/>
  <cols>
    <col min="1" max="1" width="2.6640625" customWidth="1"/>
    <col min="2" max="2" width="6.21875" customWidth="1"/>
    <col min="3" max="3" width="13.109375" hidden="1" customWidth="1"/>
    <col min="4" max="4" width="21.21875" customWidth="1"/>
    <col min="5" max="5" width="6.109375" hidden="1" customWidth="1"/>
    <col min="6" max="6" width="26.33203125" customWidth="1"/>
    <col min="7" max="7" width="7.21875" customWidth="1"/>
    <col min="8" max="8" width="8.21875" customWidth="1"/>
  </cols>
  <sheetData>
    <row r="1" spans="1:8" ht="13.5" customHeight="1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761</v>
      </c>
      <c r="G1" s="103" t="s">
        <v>359</v>
      </c>
      <c r="H1" s="104" t="s">
        <v>1393</v>
      </c>
    </row>
    <row r="2" spans="1:8" ht="13.5" customHeight="1" x14ac:dyDescent="0.15">
      <c r="A2" s="102">
        <v>1</v>
      </c>
      <c r="B2" s="128" t="s">
        <v>1191</v>
      </c>
      <c r="C2" s="305"/>
      <c r="D2" s="11" t="s">
        <v>1188</v>
      </c>
      <c r="E2" s="11"/>
      <c r="F2" s="11" t="s">
        <v>1189</v>
      </c>
      <c r="G2" s="306"/>
      <c r="H2" s="305">
        <v>2</v>
      </c>
    </row>
    <row r="3" spans="1:8" x14ac:dyDescent="0.15">
      <c r="A3" s="102">
        <v>2</v>
      </c>
      <c r="B3" s="128" t="s">
        <v>890</v>
      </c>
      <c r="C3" s="129" t="s">
        <v>411</v>
      </c>
      <c r="D3" s="129" t="s">
        <v>165</v>
      </c>
      <c r="E3" s="129" t="s">
        <v>559</v>
      </c>
      <c r="F3" s="129" t="str">
        <f>VLOOKUP(B3,'비품현황표(전체)'!$A7:$AT276,5,FALSE)</f>
        <v>밀봉용기, 30℃이하 보관</v>
      </c>
      <c r="G3" s="97" t="str">
        <f>IF(VLOOKUP(B3,'비품현황표(전체)'!$A$1:$F$273,6,FALSE)=0,"",VLOOKUP(B3,'비품현황표(전체)'!$A$1:$F$273,6,FALSE))</f>
        <v/>
      </c>
      <c r="H3" s="97">
        <v>5</v>
      </c>
    </row>
    <row r="4" spans="1:8" x14ac:dyDescent="0.15">
      <c r="A4" s="102">
        <v>3</v>
      </c>
      <c r="B4" s="132" t="s">
        <v>304</v>
      </c>
      <c r="C4" s="132" t="s">
        <v>528</v>
      </c>
      <c r="D4" s="132" t="s">
        <v>305</v>
      </c>
      <c r="E4" s="129" t="s">
        <v>607</v>
      </c>
      <c r="F4" s="129" t="str">
        <f>VLOOKUP(B4,'비품현황표(전체)'!$A8:$AT277,5,FALSE)</f>
        <v>차광밀봉용기, 실온(1~30℃)보관</v>
      </c>
      <c r="G4" s="97" t="str">
        <f>IF(VLOOKUP(B4,'비품현황표(전체)'!$A$1:$F$273,6,FALSE)=0,"",VLOOKUP(B4,'비품현황표(전체)'!$A$1:$F$273,6,FALSE))</f>
        <v/>
      </c>
      <c r="H4" s="97">
        <v>2</v>
      </c>
    </row>
    <row r="5" spans="1:8" x14ac:dyDescent="0.15">
      <c r="A5" s="102">
        <v>4</v>
      </c>
      <c r="B5" s="128" t="s">
        <v>20</v>
      </c>
      <c r="C5" s="129" t="s">
        <v>462</v>
      </c>
      <c r="D5" s="129" t="s">
        <v>78</v>
      </c>
      <c r="E5" s="129" t="s">
        <v>559</v>
      </c>
      <c r="F5" s="129" t="str">
        <f>VLOOKUP(B5,'비품현황표(전체)'!$A11:$AT278,5,FALSE)</f>
        <v>밀봉용기, 실온보존</v>
      </c>
      <c r="G5" s="97" t="str">
        <f>IF(VLOOKUP(B5,'비품현황표(전체)'!$A$1:$F$273,6,FALSE)=0,"",VLOOKUP(B5,'비품현황표(전체)'!$A$1:$F$273,6,FALSE))</f>
        <v/>
      </c>
      <c r="H5" s="97">
        <v>3</v>
      </c>
    </row>
    <row r="6" spans="1:8" x14ac:dyDescent="0.15">
      <c r="A6" s="102">
        <v>5</v>
      </c>
      <c r="B6" s="128" t="s">
        <v>891</v>
      </c>
      <c r="C6" s="129"/>
      <c r="D6" s="129" t="s">
        <v>887</v>
      </c>
      <c r="E6" s="129"/>
      <c r="F6" s="129" t="s">
        <v>889</v>
      </c>
      <c r="G6" s="97" t="str">
        <f>IF(VLOOKUP(B6,'비품현황표(전체)'!$A$1:$F$273,6,FALSE)=0,"",VLOOKUP(B6,'비품현황표(전체)'!$A$1:$F$273,6,FALSE))</f>
        <v/>
      </c>
      <c r="H6" s="97">
        <v>5</v>
      </c>
    </row>
    <row r="7" spans="1:8" x14ac:dyDescent="0.15">
      <c r="A7" s="102">
        <v>6</v>
      </c>
      <c r="B7" s="107" t="s">
        <v>1144</v>
      </c>
      <c r="C7" s="92" t="s">
        <v>469</v>
      </c>
      <c r="D7" s="92" t="s">
        <v>1145</v>
      </c>
      <c r="E7" s="92" t="s">
        <v>565</v>
      </c>
      <c r="F7" s="92" t="s">
        <v>1146</v>
      </c>
      <c r="G7" s="139"/>
      <c r="H7" s="109">
        <v>1</v>
      </c>
    </row>
    <row r="8" spans="1:8" x14ac:dyDescent="0.15">
      <c r="A8" s="102">
        <v>7</v>
      </c>
      <c r="B8" s="24" t="s">
        <v>1161</v>
      </c>
      <c r="C8" s="2"/>
      <c r="D8" s="2" t="s">
        <v>1162</v>
      </c>
      <c r="E8" s="2"/>
      <c r="F8" s="71" t="s">
        <v>671</v>
      </c>
      <c r="G8" s="269"/>
      <c r="H8" s="163">
        <v>3</v>
      </c>
    </row>
    <row r="9" spans="1:8" x14ac:dyDescent="0.15">
      <c r="A9" s="81"/>
      <c r="B9" s="81"/>
      <c r="C9" s="81"/>
      <c r="D9" s="93" t="s">
        <v>371</v>
      </c>
      <c r="E9" s="81"/>
      <c r="F9" s="81"/>
      <c r="G9" s="81"/>
      <c r="H9" s="110">
        <v>7</v>
      </c>
    </row>
  </sheetData>
  <sortState ref="A2:H9">
    <sortCondition ref="D2"/>
  </sortState>
  <phoneticPr fontId="1" type="noConversion"/>
  <conditionalFormatting sqref="G3:G5">
    <cfRule type="containsText" dxfId="32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31" priority="12" operator="containsText" text="혼돈주의약품, 유사모양, 유사발음">
      <formula>NOT(ISERROR(SEARCH("혼돈주의약품, 유사모양, 유사발음",G3)))</formula>
    </cfRule>
  </conditionalFormatting>
  <conditionalFormatting sqref="G7:G8">
    <cfRule type="containsText" dxfId="30" priority="6" operator="containsText" text="유사">
      <formula>NOT(ISERROR(SEARCH("유사",G7)))</formula>
    </cfRule>
    <cfRule type="containsText" priority="7" operator="containsText" text="유사 용량">
      <formula>NOT(ISERROR(SEARCH("유사 용량",G7)))</formula>
    </cfRule>
    <cfRule type="containsText" dxfId="29" priority="8" operator="containsText" text="혼돈주의약품, 유사모양, 유사발음">
      <formula>NOT(ISERROR(SEARCH("혼돈주의약품, 유사모양, 유사발음",G7)))</formula>
    </cfRule>
  </conditionalFormatting>
  <conditionalFormatting sqref="G6">
    <cfRule type="containsText" dxfId="28" priority="3" operator="containsText" text="유사">
      <formula>NOT(ISERROR(SEARCH("유사",G6)))</formula>
    </cfRule>
    <cfRule type="containsText" priority="4" operator="containsText" text="유사 용량">
      <formula>NOT(ISERROR(SEARCH("유사 용량",G6)))</formula>
    </cfRule>
    <cfRule type="containsText" dxfId="27" priority="5" operator="containsText" text="혼돈주의약품, 유사모양, 유사발음">
      <formula>NOT(ISERROR(SEARCH("혼돈주의약품, 유사모양, 유사발음",G6)))</formula>
    </cfRule>
  </conditionalFormatting>
  <conditionalFormatting sqref="B8">
    <cfRule type="duplicateValues" dxfId="26" priority="2"/>
  </conditionalFormatting>
  <pageMargins left="0.7" right="0.7" top="0.75" bottom="0.75" header="0.3" footer="0.3"/>
  <pageSetup paperSize="9" orientation="portrait" r:id="rId1"/>
  <headerFooter>
    <oddHeader>&amp;C&amp;"돋움,굵게"영상의학과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WhiteSpace="0" view="pageLayout" zoomScaleNormal="100" workbookViewId="0">
      <selection activeCell="H1" sqref="H1"/>
    </sheetView>
  </sheetViews>
  <sheetFormatPr defaultRowHeight="13.5" x14ac:dyDescent="0.15"/>
  <cols>
    <col min="1" max="1" width="3.88671875" customWidth="1"/>
    <col min="2" max="2" width="8.44140625" customWidth="1"/>
    <col min="3" max="3" width="11.6640625" hidden="1" customWidth="1"/>
    <col min="4" max="4" width="21.21875" customWidth="1"/>
    <col min="5" max="5" width="6.109375" hidden="1" customWidth="1"/>
    <col min="6" max="6" width="26.88671875" customWidth="1"/>
    <col min="7" max="7" width="7.5546875" customWidth="1"/>
    <col min="8" max="8" width="6.5546875" customWidth="1"/>
  </cols>
  <sheetData>
    <row r="1" spans="1:8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765</v>
      </c>
      <c r="G1" s="103" t="s">
        <v>359</v>
      </c>
      <c r="H1" s="104" t="s">
        <v>1344</v>
      </c>
    </row>
    <row r="2" spans="1:8" x14ac:dyDescent="0.15">
      <c r="A2" s="168">
        <v>1</v>
      </c>
      <c r="B2" s="222" t="s">
        <v>950</v>
      </c>
      <c r="C2" s="222"/>
      <c r="D2" s="222" t="s">
        <v>951</v>
      </c>
      <c r="E2" s="223"/>
      <c r="F2" s="224" t="s">
        <v>960</v>
      </c>
      <c r="G2" s="221" t="str">
        <f>IF(VLOOKUP(B2,'비품현황표(전체)'!$A$1:$F$273,6,FALSE)=0,"",VLOOKUP(B2,'비품현황표(전체)'!$A$1:$F$273,6,FALSE))</f>
        <v/>
      </c>
      <c r="H2" s="225">
        <v>1</v>
      </c>
    </row>
    <row r="3" spans="1:8" x14ac:dyDescent="0.15">
      <c r="A3" s="169">
        <v>3</v>
      </c>
      <c r="B3" s="222" t="s">
        <v>1341</v>
      </c>
      <c r="C3" s="222"/>
      <c r="D3" s="222" t="s">
        <v>1342</v>
      </c>
      <c r="E3" s="218" t="s">
        <v>785</v>
      </c>
      <c r="F3" s="218" t="s">
        <v>665</v>
      </c>
      <c r="G3" s="219" t="str">
        <f>IF(VLOOKUP(B3,'비품현황표(전체)'!$A$1:$F$273,6,FALSE)=0,"",VLOOKUP(B3,'비품현황표(전체)'!$A$1:$F$273,6,FALSE))</f>
        <v/>
      </c>
      <c r="H3" s="219">
        <v>4</v>
      </c>
    </row>
    <row r="4" spans="1:8" x14ac:dyDescent="0.15">
      <c r="A4" s="169">
        <v>4</v>
      </c>
      <c r="B4" s="170" t="s">
        <v>34</v>
      </c>
      <c r="C4" s="129" t="s">
        <v>472</v>
      </c>
      <c r="D4" s="129" t="s">
        <v>81</v>
      </c>
      <c r="E4" s="129" t="s">
        <v>618</v>
      </c>
      <c r="F4" s="129" t="str">
        <f>VLOOKUP(B4,'비품현황표(전체)'!$A6:$AT275,5,FALSE)</f>
        <v xml:space="preserve">밀봉용기, 차광 실온(1~30℃)보관 </v>
      </c>
      <c r="G4" s="97" t="str">
        <f>IF(VLOOKUP(B4,'비품현황표(전체)'!$A$1:$F$273,6,FALSE)=0,"",VLOOKUP(B4,'비품현황표(전체)'!$A$1:$F$273,6,FALSE))</f>
        <v/>
      </c>
      <c r="H4" s="97">
        <v>2</v>
      </c>
    </row>
    <row r="5" spans="1:8" x14ac:dyDescent="0.15">
      <c r="A5" s="171">
        <v>5</v>
      </c>
      <c r="B5" s="226" t="s">
        <v>821</v>
      </c>
      <c r="C5" s="227" t="s">
        <v>426</v>
      </c>
      <c r="D5" s="227" t="s">
        <v>823</v>
      </c>
      <c r="E5" s="227" t="s">
        <v>595</v>
      </c>
      <c r="F5" s="227" t="str">
        <f>VLOOKUP(B5,'비품현황표(전체)'!$A3:$AT274,5,FALSE)</f>
        <v>냉장보관(2-8℃), 동결을 피할 것, 차광을 위하여 원포장을 유지할 것</v>
      </c>
      <c r="G5" s="228" t="str">
        <f>IF(VLOOKUP(B5,'비품현황표(전체)'!$A$1:$F$273,6,FALSE)=0,"",VLOOKUP(B5,'비품현황표(전체)'!$A$1:$F$273,6,FALSE))</f>
        <v/>
      </c>
      <c r="H5" s="228">
        <v>4</v>
      </c>
    </row>
    <row r="6" spans="1:8" x14ac:dyDescent="0.15">
      <c r="A6" s="297">
        <v>6</v>
      </c>
      <c r="B6" s="299" t="s">
        <v>1175</v>
      </c>
      <c r="C6" s="300"/>
      <c r="D6" s="300" t="s">
        <v>1176</v>
      </c>
      <c r="E6" s="300"/>
      <c r="F6" s="300" t="s">
        <v>1177</v>
      </c>
      <c r="G6" s="298"/>
      <c r="H6" s="298">
        <v>5</v>
      </c>
    </row>
    <row r="7" spans="1:8" x14ac:dyDescent="0.15">
      <c r="A7" s="81"/>
      <c r="B7" s="81"/>
      <c r="C7" s="81"/>
      <c r="D7" s="93" t="s">
        <v>371</v>
      </c>
      <c r="E7" s="81"/>
      <c r="F7" s="81"/>
      <c r="G7" s="81"/>
      <c r="H7" s="110">
        <v>6</v>
      </c>
    </row>
  </sheetData>
  <sortState ref="B2:H5">
    <sortCondition ref="B2"/>
  </sortState>
  <phoneticPr fontId="1" type="noConversion"/>
  <conditionalFormatting sqref="G2:G6">
    <cfRule type="containsText" dxfId="25" priority="4" operator="containsText" text="유사">
      <formula>NOT(ISERROR(SEARCH("유사",G2)))</formula>
    </cfRule>
    <cfRule type="containsText" priority="5" operator="containsText" text="유사 용량">
      <formula>NOT(ISERROR(SEARCH("유사 용량",G2)))</formula>
    </cfRule>
    <cfRule type="containsText" dxfId="24" priority="6" operator="containsText" text="혼돈주의약품, 유사모양, 유사발음">
      <formula>NOT(ISERROR(SEARCH("혼돈주의약품, 유사모양, 유사발음",G2)))</formula>
    </cfRule>
  </conditionalFormatting>
  <conditionalFormatting sqref="B6">
    <cfRule type="duplicateValues" dxfId="23" priority="3"/>
  </conditionalFormatting>
  <conditionalFormatting sqref="B3">
    <cfRule type="duplicateValues" dxfId="22" priority="1"/>
  </conditionalFormatting>
  <pageMargins left="0.7" right="0.7" top="0.75" bottom="0.75" header="0.3" footer="0.3"/>
  <pageSetup paperSize="9" orientation="portrait" r:id="rId1"/>
  <headerFooter>
    <oddHeader>&amp;C&amp;"돋움,굵게"안과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view="pageLayout" zoomScaleNormal="100" workbookViewId="0">
      <selection activeCell="F2" sqref="F2"/>
    </sheetView>
  </sheetViews>
  <sheetFormatPr defaultRowHeight="13.5" x14ac:dyDescent="0.15"/>
  <cols>
    <col min="1" max="1" width="2.77734375" customWidth="1"/>
    <col min="2" max="2" width="7.21875" customWidth="1"/>
    <col min="3" max="3" width="11.6640625" hidden="1" customWidth="1"/>
    <col min="4" max="4" width="20.109375" customWidth="1"/>
    <col min="5" max="5" width="6.109375" hidden="1" customWidth="1"/>
    <col min="6" max="6" width="27.109375" customWidth="1"/>
    <col min="7" max="7" width="7.5546875" customWidth="1"/>
    <col min="8" max="8" width="8.5546875" customWidth="1"/>
  </cols>
  <sheetData>
    <row r="1" spans="1:8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765</v>
      </c>
      <c r="G1" s="103" t="s">
        <v>359</v>
      </c>
      <c r="H1" s="104" t="s">
        <v>258</v>
      </c>
    </row>
    <row r="2" spans="1:8" x14ac:dyDescent="0.15">
      <c r="A2" s="87">
        <v>1</v>
      </c>
      <c r="B2" s="174" t="s">
        <v>275</v>
      </c>
      <c r="C2" s="174" t="s">
        <v>534</v>
      </c>
      <c r="D2" s="174" t="s">
        <v>274</v>
      </c>
      <c r="E2" s="174" t="s">
        <v>562</v>
      </c>
      <c r="F2" s="174" t="str">
        <f>VLOOKUP(B2,'비품현황표(전체)'!$A1:$AT274,5,FALSE)</f>
        <v>밀봉용기, 차광 실온(1~30℃) 보관</v>
      </c>
      <c r="G2" s="88" t="str">
        <f>IF(VLOOKUP(B2,'비품현황표(전체)'!$A$1:$F$273,6,FALSE)=0,"",VLOOKUP(B2,'비품현황표(전체)'!$A$1:$F$273,6,FALSE))</f>
        <v/>
      </c>
      <c r="H2" s="88">
        <v>2</v>
      </c>
    </row>
    <row r="3" spans="1:8" x14ac:dyDescent="0.15">
      <c r="A3" s="81"/>
      <c r="B3" s="81"/>
      <c r="C3" s="81"/>
      <c r="D3" s="93" t="s">
        <v>371</v>
      </c>
      <c r="E3" s="81"/>
      <c r="F3" s="81"/>
      <c r="G3" s="81"/>
      <c r="H3" s="110">
        <v>1</v>
      </c>
    </row>
  </sheetData>
  <phoneticPr fontId="1" type="noConversion"/>
  <conditionalFormatting sqref="G2">
    <cfRule type="containsText" dxfId="21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20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&amp;C&amp;"돋움,굵게"재활의학과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view="pageLayout" zoomScaleNormal="100" workbookViewId="0">
      <selection activeCell="K31" sqref="K31"/>
    </sheetView>
  </sheetViews>
  <sheetFormatPr defaultRowHeight="13.5" x14ac:dyDescent="0.15"/>
  <cols>
    <col min="1" max="1" width="2.88671875" customWidth="1"/>
    <col min="2" max="2" width="7.21875" customWidth="1"/>
    <col min="3" max="3" width="11.6640625" hidden="1" customWidth="1"/>
    <col min="4" max="4" width="19.109375" customWidth="1"/>
    <col min="5" max="5" width="6.109375" hidden="1" customWidth="1"/>
    <col min="6" max="6" width="29.88671875" customWidth="1"/>
    <col min="7" max="7" width="7.5546875" customWidth="1"/>
    <col min="8" max="8" width="7" customWidth="1"/>
  </cols>
  <sheetData>
    <row r="1" spans="1:8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765</v>
      </c>
      <c r="G1" s="103" t="s">
        <v>359</v>
      </c>
      <c r="H1" s="104" t="s">
        <v>1001</v>
      </c>
    </row>
    <row r="2" spans="1:8" x14ac:dyDescent="0.15">
      <c r="A2" s="173">
        <v>1</v>
      </c>
      <c r="B2" s="173" t="s">
        <v>7</v>
      </c>
      <c r="C2" s="174" t="s">
        <v>436</v>
      </c>
      <c r="D2" s="174" t="s">
        <v>152</v>
      </c>
      <c r="E2" s="174" t="s">
        <v>601</v>
      </c>
      <c r="F2" s="174" t="str">
        <f>VLOOKUP(B2,'비품현황표(전체)'!$A1:$AT274,5,FALSE)</f>
        <v>포장을 개봉하지 않은 상태로 습기차단/차광 30℃이하</v>
      </c>
      <c r="G2" s="88" t="str">
        <f>IF(VLOOKUP(B2,'비품현황표(전체)'!$A$1:$F$273,6,FALSE)=0,"",VLOOKUP(B2,'비품현황표(전체)'!$A$1:$F$273,6,FALSE))</f>
        <v/>
      </c>
      <c r="H2" s="88">
        <v>10</v>
      </c>
    </row>
    <row r="3" spans="1:8" x14ac:dyDescent="0.15">
      <c r="A3" s="81"/>
      <c r="B3" s="81"/>
      <c r="C3" s="81"/>
      <c r="D3" s="93" t="s">
        <v>371</v>
      </c>
      <c r="E3" s="81"/>
      <c r="F3" s="81"/>
      <c r="G3" s="81"/>
      <c r="H3" s="110">
        <v>1</v>
      </c>
    </row>
  </sheetData>
  <phoneticPr fontId="1" type="noConversion"/>
  <conditionalFormatting sqref="G2">
    <cfRule type="containsText" dxfId="19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8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&amp;C&amp;"돋움,굵게"산부인과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view="pageLayout" zoomScaleNormal="100" workbookViewId="0">
      <selection activeCell="F2" sqref="F2"/>
    </sheetView>
  </sheetViews>
  <sheetFormatPr defaultRowHeight="13.5" x14ac:dyDescent="0.15"/>
  <cols>
    <col min="1" max="1" width="4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3" customWidth="1"/>
    <col min="7" max="7" width="9.109375" customWidth="1"/>
    <col min="8" max="8" width="8.109375" customWidth="1"/>
  </cols>
  <sheetData>
    <row r="1" spans="1:8" x14ac:dyDescent="0.15">
      <c r="A1" s="104" t="s">
        <v>626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765</v>
      </c>
      <c r="G1" s="103" t="s">
        <v>359</v>
      </c>
      <c r="H1" s="104" t="s">
        <v>336</v>
      </c>
    </row>
    <row r="2" spans="1:8" x14ac:dyDescent="0.15">
      <c r="A2" s="175">
        <v>1</v>
      </c>
      <c r="B2" s="89" t="s">
        <v>11</v>
      </c>
      <c r="C2" s="90" t="s">
        <v>410</v>
      </c>
      <c r="D2" s="90" t="s">
        <v>189</v>
      </c>
      <c r="E2" s="90" t="s">
        <v>554</v>
      </c>
      <c r="F2" s="90" t="str">
        <f>VLOOKUP(B2,'비품현황표(전체)'!$A1:$AT274,5,FALSE)</f>
        <v>실온보관 밀봉용기</v>
      </c>
      <c r="G2" s="88" t="str">
        <f>IF(VLOOKUP(B2,'비품현황표(전체)'!$A$1:$F$273,6,FALSE)=0,"",VLOOKUP(B2,'비품현황표(전체)'!$A$1:$F$273,6,FALSE))</f>
        <v>유사발음</v>
      </c>
      <c r="H2" s="83">
        <v>4</v>
      </c>
    </row>
    <row r="3" spans="1:8" x14ac:dyDescent="0.15">
      <c r="A3" s="81"/>
      <c r="B3" s="81"/>
      <c r="C3" s="81"/>
      <c r="D3" s="93" t="s">
        <v>371</v>
      </c>
      <c r="E3" s="81"/>
      <c r="F3" s="81"/>
      <c r="G3" s="81"/>
      <c r="H3" s="110">
        <v>1</v>
      </c>
    </row>
  </sheetData>
  <phoneticPr fontId="1" type="noConversion"/>
  <conditionalFormatting sqref="G2">
    <cfRule type="containsText" dxfId="17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6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&amp;C&amp;"돋움,굵게"난임클리닉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view="pageLayout" zoomScaleNormal="100" workbookViewId="0">
      <selection activeCell="F2" sqref="F2:F3"/>
    </sheetView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.44140625" customWidth="1"/>
    <col min="7" max="7" width="7.5546875" customWidth="1"/>
    <col min="8" max="8" width="5.5546875" customWidth="1"/>
  </cols>
  <sheetData>
    <row r="1" spans="1:8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766</v>
      </c>
      <c r="G1" s="103" t="s">
        <v>359</v>
      </c>
      <c r="H1" s="104" t="s">
        <v>328</v>
      </c>
    </row>
    <row r="2" spans="1:8" x14ac:dyDescent="0.15">
      <c r="A2" s="122">
        <v>1</v>
      </c>
      <c r="B2" s="114" t="s">
        <v>21</v>
      </c>
      <c r="C2" s="115" t="s">
        <v>402</v>
      </c>
      <c r="D2" s="115" t="s">
        <v>162</v>
      </c>
      <c r="E2" s="115" t="s">
        <v>556</v>
      </c>
      <c r="F2" s="115" t="str">
        <f>VLOOKUP(B2,'비품현황표(전체)'!$A1:$AT274,5,FALSE)</f>
        <v>차광밀봉용기, 25℃이하 보관, 냉장보관하지 말 것.</v>
      </c>
      <c r="G2" s="117" t="str">
        <f>IF(VLOOKUP(B2,'비품현황표(전체)'!$A$1:$F$273,6,FALSE)=0,"",VLOOKUP(B2,'비품현황표(전체)'!$A$1:$F$273,6,FALSE))</f>
        <v>유사발음</v>
      </c>
      <c r="H2" s="116">
        <v>2</v>
      </c>
    </row>
    <row r="3" spans="1:8" x14ac:dyDescent="0.15">
      <c r="A3" s="107">
        <v>2</v>
      </c>
      <c r="B3" s="107" t="s">
        <v>234</v>
      </c>
      <c r="C3" s="92" t="s">
        <v>452</v>
      </c>
      <c r="D3" s="92" t="s">
        <v>136</v>
      </c>
      <c r="E3" s="92" t="s">
        <v>560</v>
      </c>
      <c r="F3" s="92" t="str">
        <f>VLOOKUP(B3,'비품현황표(전체)'!$A3:$AT274,5,FALSE)</f>
        <v>밀봉용기</v>
      </c>
      <c r="G3" s="139" t="str">
        <f>IF(VLOOKUP(B3,'비품현황표(전체)'!$A$1:$F$273,6,FALSE)=0,"",VLOOKUP(B3,'비품현황표(전체)'!$A$1:$F$273,6,FALSE))</f>
        <v/>
      </c>
      <c r="H3" s="109">
        <v>2</v>
      </c>
    </row>
    <row r="4" spans="1:8" x14ac:dyDescent="0.15">
      <c r="A4" s="81"/>
      <c r="B4" s="81"/>
      <c r="C4" s="81"/>
      <c r="D4" s="93" t="s">
        <v>371</v>
      </c>
      <c r="E4" s="81"/>
      <c r="F4" s="81"/>
      <c r="G4" s="81"/>
      <c r="H4" s="110">
        <v>2</v>
      </c>
    </row>
  </sheetData>
  <phoneticPr fontId="1" type="noConversion"/>
  <conditionalFormatting sqref="G2:G3">
    <cfRule type="containsText" dxfId="15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4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&amp;C&amp;"돋움,굵게"피부과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view="pageLayout" topLeftCell="B1" zoomScaleNormal="100" workbookViewId="0">
      <selection activeCell="F18" sqref="F18"/>
    </sheetView>
  </sheetViews>
  <sheetFormatPr defaultRowHeight="13.5" x14ac:dyDescent="0.15"/>
  <cols>
    <col min="1" max="1" width="4.5546875" customWidth="1"/>
    <col min="3" max="3" width="0.5546875" hidden="1" customWidth="1"/>
    <col min="4" max="4" width="21.109375" customWidth="1"/>
    <col min="5" max="5" width="0.44140625" hidden="1" customWidth="1"/>
    <col min="6" max="6" width="21" customWidth="1"/>
  </cols>
  <sheetData>
    <row r="1" spans="1:8" ht="12.75" customHeight="1" x14ac:dyDescent="0.15">
      <c r="A1" s="104" t="s">
        <v>367</v>
      </c>
      <c r="B1" s="104" t="s">
        <v>48</v>
      </c>
      <c r="C1" s="104" t="s">
        <v>49</v>
      </c>
      <c r="D1" s="104" t="s">
        <v>267</v>
      </c>
      <c r="E1" s="104" t="s">
        <v>50</v>
      </c>
      <c r="F1" s="104" t="s">
        <v>632</v>
      </c>
      <c r="G1" s="103" t="s">
        <v>359</v>
      </c>
      <c r="H1" s="104" t="s">
        <v>1003</v>
      </c>
    </row>
    <row r="2" spans="1:8" x14ac:dyDescent="0.15">
      <c r="A2" s="122">
        <v>1</v>
      </c>
      <c r="B2" s="114" t="s">
        <v>60</v>
      </c>
      <c r="C2" s="115" t="s">
        <v>394</v>
      </c>
      <c r="D2" s="115" t="s">
        <v>159</v>
      </c>
      <c r="E2" s="115" t="s">
        <v>556</v>
      </c>
      <c r="F2" s="115" t="s">
        <v>670</v>
      </c>
      <c r="G2" s="117" t="str">
        <f>IF(VLOOKUP(B2,'비품현황표(전체)'!$A$1:$F$273,6,FALSE)=0,"",VLOOKUP(B2,'비품현황표(전체)'!$A$1:$F$273,6,FALSE))</f>
        <v>유사발음</v>
      </c>
      <c r="H2" s="116">
        <v>30</v>
      </c>
    </row>
    <row r="3" spans="1:8" x14ac:dyDescent="0.15">
      <c r="A3" s="149">
        <v>2</v>
      </c>
      <c r="B3" s="149" t="s">
        <v>34</v>
      </c>
      <c r="C3" s="137" t="s">
        <v>472</v>
      </c>
      <c r="D3" s="137" t="s">
        <v>81</v>
      </c>
      <c r="E3" s="137" t="s">
        <v>618</v>
      </c>
      <c r="F3" s="137" t="s">
        <v>757</v>
      </c>
      <c r="G3" s="139" t="str">
        <f>IF(VLOOKUP(B3,'비품현황표(전체)'!$A$1:$F$273,6,FALSE)=0,"",VLOOKUP(B3,'비품현황표(전체)'!$A$1:$F$273,6,FALSE))</f>
        <v/>
      </c>
      <c r="H3" s="139">
        <v>3</v>
      </c>
    </row>
    <row r="4" spans="1:8" x14ac:dyDescent="0.15">
      <c r="A4" s="81"/>
      <c r="B4" s="81"/>
      <c r="C4" s="81"/>
      <c r="D4" s="93" t="s">
        <v>371</v>
      </c>
      <c r="E4" s="81"/>
      <c r="F4" s="81"/>
      <c r="G4" s="81"/>
      <c r="H4" s="110">
        <v>2</v>
      </c>
    </row>
  </sheetData>
  <phoneticPr fontId="1" type="noConversion"/>
  <conditionalFormatting sqref="G2:G3">
    <cfRule type="containsText" dxfId="13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2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  <pageSetup paperSize="9" orientation="portrait" r:id="rId1"/>
  <headerFooter>
    <oddHeader>&amp;C&amp;"돋움,굵게"&amp;12이비인후과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WhiteSpace="0" view="pageLayout" zoomScaleNormal="100" workbookViewId="0">
      <selection activeCell="A7" sqref="A7"/>
    </sheetView>
  </sheetViews>
  <sheetFormatPr defaultRowHeight="13.5" x14ac:dyDescent="0.15"/>
  <cols>
    <col min="1" max="1" width="5" customWidth="1"/>
    <col min="3" max="3" width="18.44140625" customWidth="1"/>
    <col min="4" max="4" width="26.21875" customWidth="1"/>
    <col min="6" max="6" width="6.77734375" customWidth="1"/>
  </cols>
  <sheetData>
    <row r="1" spans="1:6" x14ac:dyDescent="0.15">
      <c r="A1" s="104" t="s">
        <v>367</v>
      </c>
      <c r="B1" s="104" t="s">
        <v>48</v>
      </c>
      <c r="C1" s="104" t="s">
        <v>267</v>
      </c>
      <c r="D1" s="105" t="s">
        <v>632</v>
      </c>
      <c r="E1" s="103" t="s">
        <v>359</v>
      </c>
      <c r="F1" s="104" t="s">
        <v>1391</v>
      </c>
    </row>
    <row r="2" spans="1:6" x14ac:dyDescent="0.15">
      <c r="A2" s="290">
        <v>1</v>
      </c>
      <c r="B2" s="140" t="s">
        <v>1154</v>
      </c>
      <c r="C2" s="1" t="s">
        <v>1155</v>
      </c>
      <c r="D2" s="1" t="s">
        <v>655</v>
      </c>
      <c r="E2" s="1"/>
      <c r="F2" s="255">
        <v>12</v>
      </c>
    </row>
    <row r="3" spans="1:6" x14ac:dyDescent="0.15">
      <c r="A3" s="290">
        <v>2</v>
      </c>
      <c r="B3" s="25" t="s">
        <v>1322</v>
      </c>
      <c r="C3" s="2" t="s">
        <v>1323</v>
      </c>
      <c r="D3" s="71" t="s">
        <v>1324</v>
      </c>
      <c r="E3" s="2"/>
      <c r="F3" s="255">
        <v>10</v>
      </c>
    </row>
    <row r="4" spans="1:6" x14ac:dyDescent="0.15">
      <c r="A4" s="290">
        <v>3</v>
      </c>
      <c r="B4" s="1" t="s">
        <v>60</v>
      </c>
      <c r="C4" s="1" t="s">
        <v>394</v>
      </c>
      <c r="D4" s="1" t="s">
        <v>670</v>
      </c>
      <c r="E4" s="38" t="s">
        <v>1156</v>
      </c>
      <c r="F4" s="255">
        <v>10</v>
      </c>
    </row>
    <row r="5" spans="1:6" x14ac:dyDescent="0.15">
      <c r="A5" s="290">
        <v>4</v>
      </c>
      <c r="B5" s="1" t="s">
        <v>1147</v>
      </c>
      <c r="C5" s="1" t="s">
        <v>1148</v>
      </c>
      <c r="D5" s="1" t="str">
        <f>VLOOKUP(B5,'비품현황표(전체)'!$A1:$AT274,5,FALSE)</f>
        <v>밀봉용기, 차광 실온(1~30℃) 보관</v>
      </c>
      <c r="E5" s="38" t="str">
        <f>IF(VLOOKUP(B5,'비품현황표(전체)'!$A$1:$F$273,6,FALSE)=0,"",VLOOKUP(B5,'비품현황표(전체)'!$A$1:$F$273,6,FALSE))</f>
        <v/>
      </c>
      <c r="F5" s="255">
        <v>10</v>
      </c>
    </row>
    <row r="6" spans="1:6" x14ac:dyDescent="0.15">
      <c r="A6" s="334">
        <v>5</v>
      </c>
      <c r="B6" s="25" t="s">
        <v>1387</v>
      </c>
      <c r="C6" s="2" t="s">
        <v>1388</v>
      </c>
      <c r="D6" s="335" t="s">
        <v>1390</v>
      </c>
      <c r="E6" s="336"/>
      <c r="F6" s="337">
        <v>30</v>
      </c>
    </row>
    <row r="7" spans="1:6" x14ac:dyDescent="0.15">
      <c r="A7" s="291"/>
      <c r="B7" s="292"/>
      <c r="C7" s="293" t="s">
        <v>804</v>
      </c>
      <c r="D7" s="294"/>
      <c r="E7" s="292"/>
      <c r="F7" s="289">
        <v>5</v>
      </c>
    </row>
  </sheetData>
  <phoneticPr fontId="1" type="noConversion"/>
  <conditionalFormatting sqref="E5:E6">
    <cfRule type="containsText" dxfId="11" priority="13" operator="containsText" text="유사">
      <formula>NOT(ISERROR(SEARCH("유사",E5)))</formula>
    </cfRule>
    <cfRule type="containsText" priority="14" operator="containsText" text="유사 용량">
      <formula>NOT(ISERROR(SEARCH("유사 용량",E5)))</formula>
    </cfRule>
    <cfRule type="containsText" dxfId="10" priority="15" operator="containsText" text="혼돈주의약품, 유사모양, 유사발음">
      <formula>NOT(ISERROR(SEARCH("혼돈주의약품, 유사모양, 유사발음",E5)))</formula>
    </cfRule>
  </conditionalFormatting>
  <conditionalFormatting sqref="E4">
    <cfRule type="containsText" dxfId="9" priority="8" operator="containsText" text="유사">
      <formula>NOT(ISERROR(SEARCH("유사",E4)))</formula>
    </cfRule>
    <cfRule type="containsText" priority="9" operator="containsText" text="유사 용량">
      <formula>NOT(ISERROR(SEARCH("유사 용량",E4)))</formula>
    </cfRule>
    <cfRule type="containsText" dxfId="8" priority="10" operator="containsText" text="혼돈주의약품, 유사모양, 유사발음">
      <formula>NOT(ISERROR(SEARCH("혼돈주의약품, 유사모양, 유사발음",E4)))</formula>
    </cfRule>
  </conditionalFormatting>
  <conditionalFormatting sqref="B2">
    <cfRule type="duplicateValues" dxfId="7" priority="4"/>
  </conditionalFormatting>
  <conditionalFormatting sqref="B3">
    <cfRule type="duplicateValues" dxfId="6" priority="2"/>
  </conditionalFormatting>
  <conditionalFormatting sqref="B6">
    <cfRule type="duplicateValues" dxfId="5" priority="1"/>
  </conditionalFormatting>
  <pageMargins left="0.7" right="0.7" top="0.75" bottom="0.75" header="0.3" footer="0.3"/>
  <pageSetup paperSize="9" orientation="portrait" r:id="rId1"/>
  <headerFooter>
    <oddHeader>&amp;C&amp;"돋움,굵게"OS
정형외과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view="pageLayout" zoomScaleNormal="100" workbookViewId="0">
      <selection activeCell="F3" sqref="F3"/>
    </sheetView>
  </sheetViews>
  <sheetFormatPr defaultRowHeight="13.5" x14ac:dyDescent="0.15"/>
  <cols>
    <col min="1" max="1" width="3.6640625" customWidth="1"/>
    <col min="3" max="3" width="16.6640625" customWidth="1"/>
    <col min="4" max="4" width="26.5546875" customWidth="1"/>
    <col min="5" max="5" width="8" customWidth="1"/>
    <col min="6" max="6" width="7" customWidth="1"/>
  </cols>
  <sheetData>
    <row r="1" spans="1:6" x14ac:dyDescent="0.15">
      <c r="A1" s="94" t="s">
        <v>367</v>
      </c>
      <c r="B1" s="94" t="s">
        <v>48</v>
      </c>
      <c r="C1" s="94" t="s">
        <v>267</v>
      </c>
      <c r="D1" s="272" t="s">
        <v>632</v>
      </c>
      <c r="E1" s="271" t="s">
        <v>359</v>
      </c>
      <c r="F1" s="94" t="s">
        <v>1338</v>
      </c>
    </row>
    <row r="2" spans="1:6" x14ac:dyDescent="0.15">
      <c r="A2" s="95">
        <v>1</v>
      </c>
      <c r="B2" s="24" t="s">
        <v>998</v>
      </c>
      <c r="C2" s="96" t="s">
        <v>999</v>
      </c>
      <c r="D2" s="2" t="s">
        <v>1071</v>
      </c>
      <c r="E2" s="215"/>
      <c r="F2" s="279">
        <v>15</v>
      </c>
    </row>
    <row r="3" spans="1:6" x14ac:dyDescent="0.15">
      <c r="A3" s="82"/>
      <c r="B3" s="82"/>
      <c r="C3" s="92" t="s">
        <v>804</v>
      </c>
      <c r="D3" s="270"/>
      <c r="E3" s="82"/>
      <c r="F3" s="278">
        <v>1</v>
      </c>
    </row>
    <row r="7" spans="1:6" x14ac:dyDescent="0.15">
      <c r="C7" s="2"/>
      <c r="D7" s="2"/>
      <c r="E7" s="2"/>
    </row>
  </sheetData>
  <phoneticPr fontId="1" type="noConversion"/>
  <conditionalFormatting sqref="B2">
    <cfRule type="duplicateValues" dxfId="4" priority="1"/>
  </conditionalFormatting>
  <pageMargins left="0.7" right="0.7" top="0.75" bottom="0.75" header="0.3" footer="0.3"/>
  <pageSetup paperSize="9" orientation="portrait" r:id="rId1"/>
  <headerFooter>
    <oddHeader>&amp;C&amp;"돋움,굵게"UR
비뇨기과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view="pageLayout" zoomScaleNormal="100" workbookViewId="0">
      <selection activeCell="I14" sqref="I14"/>
    </sheetView>
  </sheetViews>
  <sheetFormatPr defaultRowHeight="13.5" x14ac:dyDescent="0.15"/>
  <cols>
    <col min="1" max="1" width="4.6640625" customWidth="1"/>
    <col min="3" max="3" width="20.44140625" customWidth="1"/>
    <col min="4" max="4" width="22.88671875" customWidth="1"/>
    <col min="5" max="5" width="9.5546875" customWidth="1"/>
  </cols>
  <sheetData>
    <row r="1" spans="1:6" x14ac:dyDescent="0.15">
      <c r="A1" s="104" t="s">
        <v>367</v>
      </c>
      <c r="B1" s="104" t="s">
        <v>48</v>
      </c>
      <c r="C1" s="104" t="s">
        <v>267</v>
      </c>
      <c r="D1" s="105" t="s">
        <v>632</v>
      </c>
      <c r="E1" s="103" t="s">
        <v>359</v>
      </c>
      <c r="F1" s="104" t="s">
        <v>1163</v>
      </c>
    </row>
    <row r="2" spans="1:6" x14ac:dyDescent="0.15">
      <c r="A2" s="177">
        <v>1</v>
      </c>
      <c r="B2" s="280" t="s">
        <v>1154</v>
      </c>
      <c r="C2" s="280" t="s">
        <v>1155</v>
      </c>
      <c r="D2" s="281" t="s">
        <v>655</v>
      </c>
      <c r="E2" s="103"/>
      <c r="F2" s="104">
        <v>3</v>
      </c>
    </row>
    <row r="3" spans="1:6" x14ac:dyDescent="0.15">
      <c r="A3" s="177">
        <v>2</v>
      </c>
      <c r="B3" s="165" t="s">
        <v>29</v>
      </c>
      <c r="C3" s="178" t="s">
        <v>931</v>
      </c>
      <c r="D3" s="166" t="s">
        <v>932</v>
      </c>
      <c r="E3" s="117" t="str">
        <f>IF(VLOOKUP(B3,'비품현황표(전체)'!$A$1:$F$273,6,FALSE)=0,"",VLOOKUP(B3,'비품현황표(전체)'!$A$1:$F$273,6,FALSE))</f>
        <v/>
      </c>
      <c r="F3" s="179">
        <v>2</v>
      </c>
    </row>
    <row r="4" spans="1:6" x14ac:dyDescent="0.15">
      <c r="A4" s="177">
        <v>3</v>
      </c>
      <c r="B4" s="180" t="s">
        <v>65</v>
      </c>
      <c r="C4" s="181" t="s">
        <v>173</v>
      </c>
      <c r="D4" s="167" t="s">
        <v>702</v>
      </c>
      <c r="E4" s="124" t="str">
        <f>IF(VLOOKUP(B4,'비품현황표(전체)'!$A$1:$F$273,6,FALSE)=0,"",VLOOKUP(B4,'비품현황표(전체)'!$A$1:$F$273,6,FALSE))</f>
        <v>용량고주의</v>
      </c>
      <c r="F4" s="182">
        <v>2</v>
      </c>
    </row>
    <row r="5" spans="1:6" x14ac:dyDescent="0.15">
      <c r="A5" s="81"/>
      <c r="B5" s="81"/>
      <c r="C5" s="93" t="s">
        <v>804</v>
      </c>
      <c r="D5" s="106"/>
      <c r="E5" s="81"/>
      <c r="F5" s="176">
        <v>3</v>
      </c>
    </row>
    <row r="6" spans="1:6" x14ac:dyDescent="0.15">
      <c r="D6" s="36"/>
    </row>
  </sheetData>
  <phoneticPr fontId="1" type="noConversion"/>
  <conditionalFormatting sqref="E3:E4">
    <cfRule type="containsText" dxfId="3" priority="4" operator="containsText" text="유사">
      <formula>NOT(ISERROR(SEARCH("유사",E3)))</formula>
    </cfRule>
    <cfRule type="containsText" priority="5" operator="containsText" text="유사 용량">
      <formula>NOT(ISERROR(SEARCH("유사 용량",E3)))</formula>
    </cfRule>
    <cfRule type="containsText" dxfId="2" priority="6" operator="containsText" text="혼돈주의약품, 유사모양, 유사발음">
      <formula>NOT(ISERROR(SEARCH("혼돈주의약품, 유사모양, 유사발음",E3)))</formula>
    </cfRule>
  </conditionalFormatting>
  <pageMargins left="0.7" right="0.7" top="0.75" bottom="0.75" header="0.3" footer="0.3"/>
  <pageSetup paperSize="9" orientation="portrait" r:id="rId1"/>
  <headerFooter>
    <oddHeader>&amp;C&amp;"돋움,굵게"GICLA
소화기병검사실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view="pageLayout" zoomScaleNormal="100" workbookViewId="0">
      <selection activeCell="F6" sqref="F6"/>
    </sheetView>
  </sheetViews>
  <sheetFormatPr defaultRowHeight="13.5" x14ac:dyDescent="0.15"/>
  <cols>
    <col min="1" max="1" width="4.6640625" customWidth="1"/>
    <col min="3" max="3" width="20.44140625" customWidth="1"/>
    <col min="4" max="4" width="22.88671875" customWidth="1"/>
    <col min="5" max="5" width="9.5546875" customWidth="1"/>
  </cols>
  <sheetData>
    <row r="1" spans="1:6" x14ac:dyDescent="0.15">
      <c r="A1" s="242" t="s">
        <v>367</v>
      </c>
      <c r="B1" s="242" t="s">
        <v>48</v>
      </c>
      <c r="C1" s="242" t="s">
        <v>267</v>
      </c>
      <c r="D1" s="85" t="s">
        <v>632</v>
      </c>
      <c r="E1" s="84" t="s">
        <v>359</v>
      </c>
      <c r="F1" s="242" t="s">
        <v>1358</v>
      </c>
    </row>
    <row r="2" spans="1:6" x14ac:dyDescent="0.15">
      <c r="A2" s="296">
        <v>1</v>
      </c>
      <c r="B2" s="86" t="s">
        <v>1169</v>
      </c>
      <c r="C2" s="87" t="s">
        <v>1170</v>
      </c>
      <c r="D2" s="87" t="s">
        <v>1173</v>
      </c>
      <c r="E2" s="87"/>
      <c r="F2" s="80">
        <v>6</v>
      </c>
    </row>
    <row r="3" spans="1:6" x14ac:dyDescent="0.15">
      <c r="A3" s="296">
        <v>2</v>
      </c>
      <c r="B3" s="86" t="s">
        <v>1171</v>
      </c>
      <c r="C3" s="87" t="s">
        <v>1172</v>
      </c>
      <c r="D3" s="87" t="s">
        <v>1174</v>
      </c>
      <c r="E3" s="87"/>
      <c r="F3" s="80">
        <v>3</v>
      </c>
    </row>
    <row r="4" spans="1:6" x14ac:dyDescent="0.15">
      <c r="A4" s="296">
        <v>3</v>
      </c>
      <c r="B4" s="24" t="s">
        <v>1359</v>
      </c>
      <c r="C4" s="2" t="s">
        <v>1360</v>
      </c>
      <c r="D4" s="2" t="s">
        <v>1173</v>
      </c>
      <c r="E4" s="2"/>
      <c r="F4" s="80">
        <v>1</v>
      </c>
    </row>
    <row r="5" spans="1:6" x14ac:dyDescent="0.15">
      <c r="A5" s="58"/>
      <c r="B5" s="58"/>
      <c r="C5" s="87" t="s">
        <v>804</v>
      </c>
      <c r="D5" s="91"/>
      <c r="E5" s="58"/>
      <c r="F5" s="80">
        <v>3</v>
      </c>
    </row>
    <row r="6" spans="1:6" x14ac:dyDescent="0.15">
      <c r="D6" s="36"/>
    </row>
  </sheetData>
  <phoneticPr fontId="1" type="noConversion"/>
  <conditionalFormatting sqref="B2:B3">
    <cfRule type="duplicateValues" dxfId="1" priority="2"/>
  </conditionalFormatting>
  <conditionalFormatting sqref="B4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&amp;C&amp;"돋움,굵게"NR
신경과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45</vt:i4>
      </vt:variant>
      <vt:variant>
        <vt:lpstr>이름이 지정된 범위</vt:lpstr>
      </vt:variant>
      <vt:variant>
        <vt:i4>2</vt:i4>
      </vt:variant>
    </vt:vector>
  </HeadingPairs>
  <TitlesOfParts>
    <vt:vector size="47" baseType="lpstr">
      <vt:lpstr>비품현황표(전체)</vt:lpstr>
      <vt:lpstr>Sheet1</vt:lpstr>
      <vt:lpstr>Sheet4</vt:lpstr>
      <vt:lpstr>Sheet3</vt:lpstr>
      <vt:lpstr>42</vt:lpstr>
      <vt:lpstr>61</vt:lpstr>
      <vt:lpstr>62</vt:lpstr>
      <vt:lpstr>71</vt:lpstr>
      <vt:lpstr>72</vt:lpstr>
      <vt:lpstr>81</vt:lpstr>
      <vt:lpstr>82</vt:lpstr>
      <vt:lpstr>Sheet5</vt:lpstr>
      <vt:lpstr>91</vt:lpstr>
      <vt:lpstr>92</vt:lpstr>
      <vt:lpstr>101</vt:lpstr>
      <vt:lpstr>102</vt:lpstr>
      <vt:lpstr>111</vt:lpstr>
      <vt:lpstr>112</vt:lpstr>
      <vt:lpstr>121</vt:lpstr>
      <vt:lpstr>SICU</vt:lpstr>
      <vt:lpstr>MICU</vt:lpstr>
      <vt:lpstr>AN</vt:lpstr>
      <vt:lpstr>OR</vt:lpstr>
      <vt:lpstr>DRL</vt:lpstr>
      <vt:lpstr>NICU</vt:lpstr>
      <vt:lpstr>AER</vt:lpstr>
      <vt:lpstr>RRT</vt:lpstr>
      <vt:lpstr>HBEF</vt:lpstr>
      <vt:lpstr>ADR</vt:lpstr>
      <vt:lpstr>DSR</vt:lpstr>
      <vt:lpstr>HEART</vt:lpstr>
      <vt:lpstr>PED</vt:lpstr>
      <vt:lpstr>INJ</vt:lpstr>
      <vt:lpstr>DRO</vt:lpstr>
      <vt:lpstr>OT</vt:lpstr>
      <vt:lpstr>RH</vt:lpstr>
      <vt:lpstr>OG</vt:lpstr>
      <vt:lpstr>난임</vt:lpstr>
      <vt:lpstr>DM</vt:lpstr>
      <vt:lpstr>OL</vt:lpstr>
      <vt:lpstr>OS</vt:lpstr>
      <vt:lpstr>UR</vt:lpstr>
      <vt:lpstr>GICLA</vt:lpstr>
      <vt:lpstr>NR</vt:lpstr>
      <vt:lpstr>Sheet2</vt:lpstr>
      <vt:lpstr>'비품현황표(전체)'!Criteria</vt:lpstr>
      <vt:lpstr>'비품현황표(전체)'!Print_Titles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XPuser</dc:creator>
  <cp:lastModifiedBy>duih</cp:lastModifiedBy>
  <cp:lastPrinted>2026-06-08T07:33:04Z</cp:lastPrinted>
  <dcterms:created xsi:type="dcterms:W3CDTF">2005-07-02T14:01:42Z</dcterms:created>
  <dcterms:modified xsi:type="dcterms:W3CDTF">2026-06-17T04:15:34Z</dcterms:modified>
</cp:coreProperties>
</file>